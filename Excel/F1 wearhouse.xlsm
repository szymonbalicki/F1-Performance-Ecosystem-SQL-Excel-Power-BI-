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Szymon\Desktop\Szymon Analityka\"/>
    </mc:Choice>
  </mc:AlternateContent>
  <xr:revisionPtr revIDLastSave="0" documentId="13_ncr:1_{8B7CDFC4-2860-4863-A43B-CBCF31241F2F}" xr6:coauthVersionLast="47" xr6:coauthVersionMax="47" xr10:uidLastSave="{00000000-0000-0000-0000-000000000000}"/>
  <bookViews>
    <workbookView xWindow="-120" yWindow="-120" windowWidth="29040" windowHeight="15720" activeTab="1" xr2:uid="{C7DFD9D9-D1E3-4872-92E9-121C839ED2E7}"/>
  </bookViews>
  <sheets>
    <sheet name="v_Driver_Scorecard_Final" sheetId="2" r:id="rId1"/>
    <sheet name="Dashboard" sheetId="1" r:id="rId2"/>
  </sheets>
  <definedNames>
    <definedName name="ExternalData_1" localSheetId="0" hidden="1">v_Driver_Scorecard_Final!$A$1:$I$2560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1" l="1"/>
  <c r="E24" i="1"/>
  <c r="E23" i="1"/>
  <c r="E22" i="1"/>
  <c r="E21" i="1"/>
  <c r="E6" i="1"/>
  <c r="K53" i="1"/>
  <c r="K54" i="1"/>
  <c r="K55" i="1"/>
  <c r="K56" i="1"/>
  <c r="K57" i="1"/>
  <c r="K58" i="1"/>
  <c r="K59" i="1"/>
  <c r="K60" i="1"/>
  <c r="K61" i="1"/>
  <c r="K52" i="1"/>
  <c r="B2" i="1"/>
  <c r="E9" i="1"/>
  <c r="E8" i="1"/>
  <c r="E12" i="1" s="1"/>
  <c r="E7" i="1"/>
  <c r="E1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8B9D98-A1B2-4BC2-9D68-85DF221648A4}" keepAlive="1" name="Zapytanie — v_Driver_Scorecard_Final" description="Połączenie z zapytaniem „v_Driver_Scorecard_Final” w skoroszycie." type="5" refreshedVersion="8" background="1" saveData="1">
    <dbPr connection="Provider=Microsoft.Mashup.OleDb.1;Data Source=$Workbook$;Location=v_Driver_Scorecard_Final;Extended Properties=&quot;&quot;" command="SELECT * FROM [v_Driver_Scorecard_Final]"/>
  </connection>
</connections>
</file>

<file path=xl/sharedStrings.xml><?xml version="1.0" encoding="utf-8"?>
<sst xmlns="http://schemas.openxmlformats.org/spreadsheetml/2006/main" count="10296" uniqueCount="161">
  <si>
    <t>Driver_Name</t>
  </si>
  <si>
    <t>Team</t>
  </si>
  <si>
    <t>Season</t>
  </si>
  <si>
    <t>Race_Name</t>
  </si>
  <si>
    <t>Start_Pos</t>
  </si>
  <si>
    <t>Finish_Pos</t>
  </si>
  <si>
    <t>Positions_Gained</t>
  </si>
  <si>
    <t>Points</t>
  </si>
  <si>
    <t>Race_Status</t>
  </si>
  <si>
    <t>Lewis Hamilton</t>
  </si>
  <si>
    <t>Mercedes</t>
  </si>
  <si>
    <t>Abu Dhabi Grand Prix</t>
  </si>
  <si>
    <t>Finished</t>
  </si>
  <si>
    <t>Fernando Alonso</t>
  </si>
  <si>
    <t>Aston Martin</t>
  </si>
  <si>
    <t>Nico Hülkenberg</t>
  </si>
  <si>
    <t>Haas F1 Team</t>
  </si>
  <si>
    <t>Sergio Pérez</t>
  </si>
  <si>
    <t>Red Bull</t>
  </si>
  <si>
    <t>Collision</t>
  </si>
  <si>
    <t>Valtteri Bottas</t>
  </si>
  <si>
    <t>Sauber</t>
  </si>
  <si>
    <t>Collision damage</t>
  </si>
  <si>
    <t>Kevin Magnussen</t>
  </si>
  <si>
    <t>+1 Lap</t>
  </si>
  <si>
    <t>Max Verstappen</t>
  </si>
  <si>
    <t>Carlos Sainz</t>
  </si>
  <si>
    <t>Ferrari</t>
  </si>
  <si>
    <t>Lance Stroll</t>
  </si>
  <si>
    <t>Pierre Gasly</t>
  </si>
  <si>
    <t>Alpine F1 Team</t>
  </si>
  <si>
    <t>Charles Leclerc</t>
  </si>
  <si>
    <t>Lando Norris</t>
  </si>
  <si>
    <t>McLaren</t>
  </si>
  <si>
    <t>George Russell</t>
  </si>
  <si>
    <t>Alexander Albon</t>
  </si>
  <si>
    <t>Williams</t>
  </si>
  <si>
    <t>Yuki Tsunoda</t>
  </si>
  <si>
    <t>RB F1 Team</t>
  </si>
  <si>
    <t>Guanyu Zhou</t>
  </si>
  <si>
    <t>Oscar Piastri</t>
  </si>
  <si>
    <t>Liam Lawson</t>
  </si>
  <si>
    <t>Engine</t>
  </si>
  <si>
    <t>Franco Colapinto</t>
  </si>
  <si>
    <t>Jack Doohan</t>
  </si>
  <si>
    <t>Australian Grand Prix</t>
  </si>
  <si>
    <t>Daniel Ricciardo</t>
  </si>
  <si>
    <t>Brakes</t>
  </si>
  <si>
    <t>Esteban Ocon</t>
  </si>
  <si>
    <t>Accident</t>
  </si>
  <si>
    <t>Austrian Grand Prix</t>
  </si>
  <si>
    <t>+7 Laps</t>
  </si>
  <si>
    <t>Logan Sargeant</t>
  </si>
  <si>
    <t>+2 Laps</t>
  </si>
  <si>
    <t>Azerbaijan Grand Prix</t>
  </si>
  <si>
    <t>Retired</t>
  </si>
  <si>
    <t>Oliver Bearman</t>
  </si>
  <si>
    <t>Bahrain Grand Prix</t>
  </si>
  <si>
    <t>Belgian Grand Prix</t>
  </si>
  <si>
    <t>Disqualified</t>
  </si>
  <si>
    <t>British Grand Prix</t>
  </si>
  <si>
    <t>Gearbox</t>
  </si>
  <si>
    <t>Water pressure</t>
  </si>
  <si>
    <t>Canadian Grand Prix</t>
  </si>
  <si>
    <t>Chinese Grand Prix</t>
  </si>
  <si>
    <t>Dutch Grand Prix</t>
  </si>
  <si>
    <t>Emilia Romagna Grand Prix</t>
  </si>
  <si>
    <t>Hungarian Grand Prix</t>
  </si>
  <si>
    <t>Hydraulics</t>
  </si>
  <si>
    <t>Italian Grand Prix</t>
  </si>
  <si>
    <t>Overheating</t>
  </si>
  <si>
    <t>Japanese Grand Prix</t>
  </si>
  <si>
    <t>Las Vegas Grand Prix</t>
  </si>
  <si>
    <t>Radiator</t>
  </si>
  <si>
    <t>Mexico City Grand Prix</t>
  </si>
  <si>
    <t>Miami Grand Prix</t>
  </si>
  <si>
    <t>Monaco Grand Prix</t>
  </si>
  <si>
    <t>Qatar Grand Prix</t>
  </si>
  <si>
    <t>Spun off</t>
  </si>
  <si>
    <t>Saudi Arabian Grand Prix</t>
  </si>
  <si>
    <t>Singapore Grand Prix</t>
  </si>
  <si>
    <t>Power Unit</t>
  </si>
  <si>
    <t>Spanish Grand Prix</t>
  </si>
  <si>
    <t>São Paulo Grand Prix</t>
  </si>
  <si>
    <t>Withdrew</t>
  </si>
  <si>
    <t>United States Grand Prix</t>
  </si>
  <si>
    <t>AlphaTauri</t>
  </si>
  <si>
    <t>Alfa Romeo</t>
  </si>
  <si>
    <t>Nyck de Vries</t>
  </si>
  <si>
    <t>Power loss</t>
  </si>
  <si>
    <t>Mechanical</t>
  </si>
  <si>
    <t>Electrical</t>
  </si>
  <si>
    <t>Oil leak</t>
  </si>
  <si>
    <t>Undertray</t>
  </si>
  <si>
    <t>Steering</t>
  </si>
  <si>
    <t>Rear wing</t>
  </si>
  <si>
    <t>Fuel leak</t>
  </si>
  <si>
    <t>Illness</t>
  </si>
  <si>
    <t>Technical</t>
  </si>
  <si>
    <t>Water leak</t>
  </si>
  <si>
    <t>Sebastian Vettel</t>
  </si>
  <si>
    <t>Nicholas Latifi</t>
  </si>
  <si>
    <t>Mick Schumacher</t>
  </si>
  <si>
    <t>Vibrations</t>
  </si>
  <si>
    <t>Fuel pressure</t>
  </si>
  <si>
    <t>Fuel pump</t>
  </si>
  <si>
    <t>Differential</t>
  </si>
  <si>
    <t>French Grand Prix</t>
  </si>
  <si>
    <t>+6 Laps</t>
  </si>
  <si>
    <t>Front wing</t>
  </si>
  <si>
    <t>Suspension</t>
  </si>
  <si>
    <t>Water pump</t>
  </si>
  <si>
    <t>Cooling system</t>
  </si>
  <si>
    <t>Turbo</t>
  </si>
  <si>
    <t>Kimi Räikkönen</t>
  </si>
  <si>
    <t>Antonio Giovinazzi</t>
  </si>
  <si>
    <t>Nikita Mazepin</t>
  </si>
  <si>
    <t>Robert Kubica</t>
  </si>
  <si>
    <t>+3 Laps</t>
  </si>
  <si>
    <t>Wheel nut</t>
  </si>
  <si>
    <t>Driveshaft</t>
  </si>
  <si>
    <t>Portuguese Grand Prix</t>
  </si>
  <si>
    <t>Damage</t>
  </si>
  <si>
    <t>Puncture</t>
  </si>
  <si>
    <t>Russian Grand Prix</t>
  </si>
  <si>
    <t>Styrian Grand Prix</t>
  </si>
  <si>
    <t>Turkish Grand Prix</t>
  </si>
  <si>
    <t>70th Anniversary Grand Prix</t>
  </si>
  <si>
    <t>Romain Grosjean</t>
  </si>
  <si>
    <t>Racing Point</t>
  </si>
  <si>
    <t>Renault</t>
  </si>
  <si>
    <t>Daniil Kvyat</t>
  </si>
  <si>
    <t>Transmission</t>
  </si>
  <si>
    <t>Pietro Fittipaldi</t>
  </si>
  <si>
    <t>Wheel</t>
  </si>
  <si>
    <t>Electronics</t>
  </si>
  <si>
    <t>Exhaust</t>
  </si>
  <si>
    <t>Debris</t>
  </si>
  <si>
    <t>Eifel Grand Prix</t>
  </si>
  <si>
    <t>+5 Laps</t>
  </si>
  <si>
    <t>Sakhir Grand Prix</t>
  </si>
  <si>
    <t>Jack Aitken</t>
  </si>
  <si>
    <t>Tuscan Grand Prix</t>
  </si>
  <si>
    <t>Toro Rosso</t>
  </si>
  <si>
    <t>Out of fuel</t>
  </si>
  <si>
    <t>Brazilian Grand Prix</t>
  </si>
  <si>
    <t>German Grand Prix</t>
  </si>
  <si>
    <t>Mexican Grand Prix</t>
  </si>
  <si>
    <t>FORMA KIEROWCY W 10 OSTATNICH WYŚCIGACH</t>
  </si>
  <si>
    <t>UKOŃCZONE WYŚCIGI</t>
  </si>
  <si>
    <t>AWARIE</t>
  </si>
  <si>
    <t>KOLIZJE/INCYDENTY</t>
  </si>
  <si>
    <t>DNF (INNE)</t>
  </si>
  <si>
    <t>% WYŚCIGÓW W PUNKTACH</t>
  </si>
  <si>
    <t>ŚREDNIA POZYCJA (STARTOWA)</t>
  </si>
  <si>
    <t>ŚREDNIA PUNKTÓW NA WYŚCiG</t>
  </si>
  <si>
    <t>NAJLEPSZY WYNIK</t>
  </si>
  <si>
    <t>LICZBA STARTÓW</t>
  </si>
  <si>
    <t>ZESPÓŁ</t>
  </si>
  <si>
    <t>SUMA PUNKTÓW</t>
  </si>
  <si>
    <t>KIEROWCA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</si>
</sst>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1" tint="4.9989318521683403E-2"/>
      <name val="Calibri"/>
      <family val="2"/>
      <charset val="238"/>
      <scheme val="minor"/>
    </font>
    <font>
      <b/>
      <sz val="11"/>
      <color theme="1" tint="0.34998626667073579"/>
      <name val="Calibri"/>
      <family val="2"/>
      <charset val="238"/>
      <scheme val="minor"/>
    </font>
    <font>
      <b/>
      <sz val="11"/>
      <color rgb="FFFF0000"/>
      <name val="Segoe UI Black"/>
      <family val="2"/>
      <charset val="238"/>
    </font>
    <font>
      <sz val="26"/>
      <color theme="1"/>
      <name val="Calibri"/>
      <family val="2"/>
      <charset val="238"/>
      <scheme val="minor"/>
    </font>
    <font>
      <sz val="10"/>
      <color theme="1"/>
      <name val="Arial Unicode MS"/>
    </font>
    <font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</fills>
  <borders count="20">
    <border>
      <left/>
      <right/>
      <top/>
      <bottom/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2" fillId="3" borderId="2" xfId="0" applyFont="1" applyFill="1" applyBorder="1" applyAlignment="1">
      <alignment horizontal="center"/>
    </xf>
    <xf numFmtId="1" fontId="2" fillId="3" borderId="2" xfId="0" applyNumberFormat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4" fillId="2" borderId="0" xfId="0" applyFont="1" applyFill="1" applyAlignment="1">
      <alignment vertical="center"/>
    </xf>
    <xf numFmtId="0" fontId="6" fillId="0" borderId="0" xfId="0" applyFont="1"/>
    <xf numFmtId="0" fontId="6" fillId="2" borderId="0" xfId="0" applyFont="1" applyFill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6" xfId="0" applyFill="1" applyBorder="1"/>
    <xf numFmtId="0" fontId="1" fillId="3" borderId="15" xfId="0" applyFont="1" applyFill="1" applyBorder="1"/>
    <xf numFmtId="0" fontId="1" fillId="3" borderId="9" xfId="0" applyFont="1" applyFill="1" applyBorder="1"/>
    <xf numFmtId="0" fontId="1" fillId="3" borderId="12" xfId="0" applyFont="1" applyFill="1" applyBorder="1"/>
    <xf numFmtId="10" fontId="1" fillId="3" borderId="2" xfId="1" applyNumberFormat="1" applyFont="1" applyFill="1" applyBorder="1" applyAlignment="1">
      <alignment horizontal="center"/>
    </xf>
    <xf numFmtId="1" fontId="1" fillId="0" borderId="5" xfId="0" applyNumberFormat="1" applyFont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14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19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2" fontId="2" fillId="3" borderId="2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2">
    <cellStyle name="Normalny" xfId="0" builtinId="0"/>
    <cellStyle name="Procentowy" xfId="1" builtinId="5"/>
  </cellStyles>
  <dxfs count="7"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theme="2" tint="-0.499984740745262"/>
      </font>
      <fill>
        <patternFill>
          <bgColor theme="2"/>
        </patternFill>
      </fill>
    </dxf>
    <dxf>
      <font>
        <b/>
        <i val="0"/>
        <color theme="5" tint="0.39991454817346722"/>
      </font>
      <fill>
        <patternFill>
          <bgColor theme="5" tint="-0.2499465926084170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73D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27</xdr:row>
      <xdr:rowOff>123825</xdr:rowOff>
    </xdr:from>
    <xdr:to>
      <xdr:col>4</xdr:col>
      <xdr:colOff>1619249</xdr:colOff>
      <xdr:row>29</xdr:row>
      <xdr:rowOff>123825</xdr:rowOff>
    </xdr:to>
    <xdr:sp macro="[0]!GenerujRaportPDF" textlink="">
      <xdr:nvSpPr>
        <xdr:cNvPr id="2" name="Prostokąt 1">
          <a:extLst>
            <a:ext uri="{FF2B5EF4-FFF2-40B4-BE49-F238E27FC236}">
              <a16:creationId xmlns:a16="http://schemas.microsoft.com/office/drawing/2014/main" id="{AEF6CDB4-3641-469B-279A-37E556364AE6}"/>
            </a:ext>
          </a:extLst>
        </xdr:cNvPr>
        <xdr:cNvSpPr/>
      </xdr:nvSpPr>
      <xdr:spPr>
        <a:xfrm>
          <a:off x="1000125" y="5267325"/>
          <a:ext cx="4476749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600"/>
            <a:t>GENERUJ</a:t>
          </a:r>
          <a:r>
            <a:rPr lang="pl-PL" sz="1600" baseline="0"/>
            <a:t> RAPORT PDF</a:t>
          </a:r>
          <a:endParaRPr lang="pl-PL" sz="16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4C6272D-A3F7-4171-BB85-E56CF72AB0D8}" autoFormatId="16" applyNumberFormats="0" applyBorderFormats="0" applyFontFormats="0" applyPatternFormats="0" applyAlignmentFormats="0" applyWidthHeightFormats="0">
  <queryTableRefresh nextId="10">
    <queryTableFields count="9">
      <queryTableField id="1" name="Driver_Name" tableColumnId="1"/>
      <queryTableField id="2" name="Team" tableColumnId="2"/>
      <queryTableField id="3" name="Season" tableColumnId="3"/>
      <queryTableField id="4" name="Race_Name" tableColumnId="4"/>
      <queryTableField id="5" name="Start_Pos" tableColumnId="5"/>
      <queryTableField id="6" name="Finish_Pos" tableColumnId="6"/>
      <queryTableField id="7" name="Positions_Gained" tableColumnId="7"/>
      <queryTableField id="8" name="Points" tableColumnId="8"/>
      <queryTableField id="9" name="Race_Statu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56138D-7E38-40BA-BC97-90A28E635CCF}" name="v_Driver_Scorecard_Final" displayName="v_Driver_Scorecard_Final" ref="A1:I2560" tableType="queryTable" totalsRowShown="0">
  <autoFilter ref="A1:I2560" xr:uid="{0D56138D-7E38-40BA-BC97-90A28E635CCF}"/>
  <tableColumns count="9">
    <tableColumn id="1" xr3:uid="{E6C131FE-263C-49D2-9465-0DB77B94F53B}" uniqueName="1" name="Driver_Name" queryTableFieldId="1" dataDxfId="6"/>
    <tableColumn id="2" xr3:uid="{311F30A1-3CC4-4CCB-A410-66EA3B5F8794}" uniqueName="2" name="Team" queryTableFieldId="2" dataDxfId="5"/>
    <tableColumn id="3" xr3:uid="{562C7E7A-1E70-47DA-9FD3-1DF49F3FB1CC}" uniqueName="3" name="Season" queryTableFieldId="3"/>
    <tableColumn id="4" xr3:uid="{04655B67-EA10-4C5F-91B3-DE2AFBC8025C}" uniqueName="4" name="Race_Name" queryTableFieldId="4" dataDxfId="4"/>
    <tableColumn id="5" xr3:uid="{B0816339-423B-4094-BA97-92967A608ABC}" uniqueName="5" name="Start_Pos" queryTableFieldId="5"/>
    <tableColumn id="6" xr3:uid="{C2468FE1-6CEB-403B-B7C2-4BB795301B72}" uniqueName="6" name="Finish_Pos" queryTableFieldId="6"/>
    <tableColumn id="7" xr3:uid="{F10D6018-8547-47B8-A3E7-14B2D471C2A9}" uniqueName="7" name="Positions_Gained" queryTableFieldId="7"/>
    <tableColumn id="8" xr3:uid="{AD300A1D-94A9-4EC9-8786-0A00A594C273}" uniqueName="8" name="Points" queryTableFieldId="8"/>
    <tableColumn id="9" xr3:uid="{482591EC-357A-45B9-B747-ACC79309B834}" uniqueName="9" name="Race_Status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C9FEDAD-F5F6-4065-83F9-A5CB35DB8C7C}">
  <we:reference id="a2a4692c-ecd3-4c3d-bc1e-2c407a976176" version="25.0.2.0" store="EXCatalog" storeType="EXCatalog"/>
  <we:alternateReferences>
    <we:reference id="WA200000019" version="25.0.2.0" store="pl-PL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3BFEC-5DBB-4C6D-917B-C3F2C082CC73}">
  <sheetPr codeName="Arkusz1"/>
  <dimension ref="A1:M2560"/>
  <sheetViews>
    <sheetView showGridLines="0" workbookViewId="0">
      <selection activeCell="O2536" sqref="O2536"/>
    </sheetView>
  </sheetViews>
  <sheetFormatPr defaultRowHeight="15"/>
  <cols>
    <col min="1" max="1" width="17.85546875" bestFit="1" customWidth="1"/>
    <col min="2" max="2" width="14.7109375" bestFit="1" customWidth="1"/>
    <col min="3" max="3" width="9.5703125" bestFit="1" customWidth="1"/>
    <col min="4" max="4" width="26" bestFit="1" customWidth="1"/>
    <col min="5" max="5" width="11.5703125" bestFit="1" customWidth="1"/>
    <col min="6" max="6" width="12.7109375" bestFit="1" customWidth="1"/>
    <col min="7" max="7" width="19" bestFit="1" customWidth="1"/>
    <col min="8" max="8" width="8.85546875" bestFit="1" customWidth="1"/>
    <col min="9" max="9" width="16.28515625" bestFit="1" customWidth="1"/>
    <col min="13" max="13" width="17.855468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M1" t="s">
        <v>0</v>
      </c>
    </row>
    <row r="2" spans="1:13">
      <c r="A2" t="s">
        <v>9</v>
      </c>
      <c r="B2" t="s">
        <v>10</v>
      </c>
      <c r="C2">
        <v>2024</v>
      </c>
      <c r="D2" t="s">
        <v>11</v>
      </c>
      <c r="E2">
        <v>16</v>
      </c>
      <c r="F2">
        <v>4</v>
      </c>
      <c r="G2">
        <v>12</v>
      </c>
      <c r="H2">
        <v>12</v>
      </c>
      <c r="I2" t="s">
        <v>12</v>
      </c>
      <c r="M2" t="s">
        <v>35</v>
      </c>
    </row>
    <row r="3" spans="1:13">
      <c r="A3" t="s">
        <v>13</v>
      </c>
      <c r="B3" t="s">
        <v>14</v>
      </c>
      <c r="C3">
        <v>2024</v>
      </c>
      <c r="D3" t="s">
        <v>11</v>
      </c>
      <c r="E3">
        <v>8</v>
      </c>
      <c r="F3">
        <v>9</v>
      </c>
      <c r="G3">
        <v>-1</v>
      </c>
      <c r="H3">
        <v>2</v>
      </c>
      <c r="I3" t="s">
        <v>12</v>
      </c>
      <c r="M3" t="s">
        <v>115</v>
      </c>
    </row>
    <row r="4" spans="1:13">
      <c r="A4" t="s">
        <v>15</v>
      </c>
      <c r="B4" t="s">
        <v>16</v>
      </c>
      <c r="C4">
        <v>2024</v>
      </c>
      <c r="D4" t="s">
        <v>11</v>
      </c>
      <c r="E4">
        <v>7</v>
      </c>
      <c r="F4">
        <v>8</v>
      </c>
      <c r="G4">
        <v>-1</v>
      </c>
      <c r="H4">
        <v>4</v>
      </c>
      <c r="I4" t="s">
        <v>12</v>
      </c>
      <c r="M4" t="s">
        <v>26</v>
      </c>
    </row>
    <row r="5" spans="1:13">
      <c r="A5" t="s">
        <v>17</v>
      </c>
      <c r="B5" t="s">
        <v>18</v>
      </c>
      <c r="C5">
        <v>2024</v>
      </c>
      <c r="D5" t="s">
        <v>11</v>
      </c>
      <c r="E5">
        <v>10</v>
      </c>
      <c r="F5">
        <v>20</v>
      </c>
      <c r="G5">
        <v>-10</v>
      </c>
      <c r="H5">
        <v>0</v>
      </c>
      <c r="I5" t="s">
        <v>19</v>
      </c>
      <c r="M5" t="s">
        <v>31</v>
      </c>
    </row>
    <row r="6" spans="1:13">
      <c r="A6" t="s">
        <v>20</v>
      </c>
      <c r="B6" t="s">
        <v>21</v>
      </c>
      <c r="C6">
        <v>2024</v>
      </c>
      <c r="D6" t="s">
        <v>11</v>
      </c>
      <c r="E6">
        <v>9</v>
      </c>
      <c r="F6">
        <v>18</v>
      </c>
      <c r="G6">
        <v>-9</v>
      </c>
      <c r="H6">
        <v>0</v>
      </c>
      <c r="I6" t="s">
        <v>22</v>
      </c>
      <c r="M6" t="s">
        <v>46</v>
      </c>
    </row>
    <row r="7" spans="1:13">
      <c r="A7" t="s">
        <v>23</v>
      </c>
      <c r="B7" t="s">
        <v>16</v>
      </c>
      <c r="C7">
        <v>2024</v>
      </c>
      <c r="D7" t="s">
        <v>11</v>
      </c>
      <c r="E7">
        <v>14</v>
      </c>
      <c r="F7">
        <v>16</v>
      </c>
      <c r="G7">
        <v>-2</v>
      </c>
      <c r="H7">
        <v>0</v>
      </c>
      <c r="I7" t="s">
        <v>24</v>
      </c>
      <c r="M7" t="s">
        <v>131</v>
      </c>
    </row>
    <row r="8" spans="1:13">
      <c r="A8" t="s">
        <v>25</v>
      </c>
      <c r="B8" t="s">
        <v>18</v>
      </c>
      <c r="C8">
        <v>2024</v>
      </c>
      <c r="D8" t="s">
        <v>11</v>
      </c>
      <c r="E8">
        <v>4</v>
      </c>
      <c r="F8">
        <v>6</v>
      </c>
      <c r="G8">
        <v>-2</v>
      </c>
      <c r="H8">
        <v>8</v>
      </c>
      <c r="I8" t="s">
        <v>12</v>
      </c>
      <c r="M8" t="s">
        <v>48</v>
      </c>
    </row>
    <row r="9" spans="1:13">
      <c r="A9" t="s">
        <v>26</v>
      </c>
      <c r="B9" t="s">
        <v>27</v>
      </c>
      <c r="C9">
        <v>2024</v>
      </c>
      <c r="D9" t="s">
        <v>11</v>
      </c>
      <c r="E9">
        <v>3</v>
      </c>
      <c r="F9">
        <v>2</v>
      </c>
      <c r="G9">
        <v>1</v>
      </c>
      <c r="H9">
        <v>18</v>
      </c>
      <c r="I9" t="s">
        <v>12</v>
      </c>
      <c r="M9" t="s">
        <v>13</v>
      </c>
    </row>
    <row r="10" spans="1:13">
      <c r="A10" t="s">
        <v>28</v>
      </c>
      <c r="B10" t="s">
        <v>14</v>
      </c>
      <c r="C10">
        <v>2024</v>
      </c>
      <c r="D10" t="s">
        <v>11</v>
      </c>
      <c r="E10">
        <v>13</v>
      </c>
      <c r="F10">
        <v>14</v>
      </c>
      <c r="G10">
        <v>-1</v>
      </c>
      <c r="H10">
        <v>0</v>
      </c>
      <c r="I10" t="s">
        <v>24</v>
      </c>
      <c r="M10" t="s">
        <v>43</v>
      </c>
    </row>
    <row r="11" spans="1:13">
      <c r="A11" t="s">
        <v>29</v>
      </c>
      <c r="B11" t="s">
        <v>30</v>
      </c>
      <c r="C11">
        <v>2024</v>
      </c>
      <c r="D11" t="s">
        <v>11</v>
      </c>
      <c r="E11">
        <v>5</v>
      </c>
      <c r="F11">
        <v>7</v>
      </c>
      <c r="G11">
        <v>-2</v>
      </c>
      <c r="H11">
        <v>6</v>
      </c>
      <c r="I11" t="s">
        <v>12</v>
      </c>
      <c r="M11" t="s">
        <v>34</v>
      </c>
    </row>
    <row r="12" spans="1:13">
      <c r="A12" t="s">
        <v>31</v>
      </c>
      <c r="B12" t="s">
        <v>27</v>
      </c>
      <c r="C12">
        <v>2024</v>
      </c>
      <c r="D12" t="s">
        <v>11</v>
      </c>
      <c r="E12">
        <v>19</v>
      </c>
      <c r="F12">
        <v>3</v>
      </c>
      <c r="G12">
        <v>16</v>
      </c>
      <c r="H12">
        <v>15</v>
      </c>
      <c r="I12" t="s">
        <v>12</v>
      </c>
      <c r="M12" t="s">
        <v>39</v>
      </c>
    </row>
    <row r="13" spans="1:13">
      <c r="A13" t="s">
        <v>32</v>
      </c>
      <c r="B13" t="s">
        <v>33</v>
      </c>
      <c r="C13">
        <v>2024</v>
      </c>
      <c r="D13" t="s">
        <v>11</v>
      </c>
      <c r="E13">
        <v>1</v>
      </c>
      <c r="F13">
        <v>1</v>
      </c>
      <c r="G13">
        <v>0</v>
      </c>
      <c r="H13">
        <v>25</v>
      </c>
      <c r="I13" t="s">
        <v>12</v>
      </c>
      <c r="M13" t="s">
        <v>141</v>
      </c>
    </row>
    <row r="14" spans="1:13">
      <c r="A14" t="s">
        <v>34</v>
      </c>
      <c r="B14" t="s">
        <v>10</v>
      </c>
      <c r="C14">
        <v>2024</v>
      </c>
      <c r="D14" t="s">
        <v>11</v>
      </c>
      <c r="E14">
        <v>6</v>
      </c>
      <c r="F14">
        <v>5</v>
      </c>
      <c r="G14">
        <v>1</v>
      </c>
      <c r="H14">
        <v>10</v>
      </c>
      <c r="I14" t="s">
        <v>12</v>
      </c>
      <c r="M14" t="s">
        <v>44</v>
      </c>
    </row>
    <row r="15" spans="1:13">
      <c r="A15" t="s">
        <v>35</v>
      </c>
      <c r="B15" t="s">
        <v>36</v>
      </c>
      <c r="C15">
        <v>2024</v>
      </c>
      <c r="D15" t="s">
        <v>11</v>
      </c>
      <c r="E15">
        <v>18</v>
      </c>
      <c r="F15">
        <v>11</v>
      </c>
      <c r="G15">
        <v>7</v>
      </c>
      <c r="H15">
        <v>0</v>
      </c>
      <c r="I15" t="s">
        <v>24</v>
      </c>
      <c r="M15" t="s">
        <v>23</v>
      </c>
    </row>
    <row r="16" spans="1:13">
      <c r="A16" t="s">
        <v>37</v>
      </c>
      <c r="B16" t="s">
        <v>38</v>
      </c>
      <c r="C16">
        <v>2024</v>
      </c>
      <c r="D16" t="s">
        <v>11</v>
      </c>
      <c r="E16">
        <v>11</v>
      </c>
      <c r="F16">
        <v>12</v>
      </c>
      <c r="G16">
        <v>-1</v>
      </c>
      <c r="H16">
        <v>0</v>
      </c>
      <c r="I16" t="s">
        <v>24</v>
      </c>
      <c r="M16" t="s">
        <v>114</v>
      </c>
    </row>
    <row r="17" spans="1:13">
      <c r="A17" t="s">
        <v>39</v>
      </c>
      <c r="B17" t="s">
        <v>21</v>
      </c>
      <c r="C17">
        <v>2024</v>
      </c>
      <c r="D17" t="s">
        <v>11</v>
      </c>
      <c r="E17">
        <v>15</v>
      </c>
      <c r="F17">
        <v>13</v>
      </c>
      <c r="G17">
        <v>2</v>
      </c>
      <c r="H17">
        <v>0</v>
      </c>
      <c r="I17" t="s">
        <v>24</v>
      </c>
      <c r="M17" t="s">
        <v>28</v>
      </c>
    </row>
    <row r="18" spans="1:13">
      <c r="A18" t="s">
        <v>40</v>
      </c>
      <c r="B18" t="s">
        <v>33</v>
      </c>
      <c r="C18">
        <v>2024</v>
      </c>
      <c r="D18" t="s">
        <v>11</v>
      </c>
      <c r="E18">
        <v>2</v>
      </c>
      <c r="F18">
        <v>10</v>
      </c>
      <c r="G18">
        <v>-8</v>
      </c>
      <c r="H18">
        <v>1</v>
      </c>
      <c r="I18" t="s">
        <v>12</v>
      </c>
      <c r="M18" t="s">
        <v>32</v>
      </c>
    </row>
    <row r="19" spans="1:13">
      <c r="A19" t="s">
        <v>41</v>
      </c>
      <c r="B19" t="s">
        <v>38</v>
      </c>
      <c r="C19">
        <v>2024</v>
      </c>
      <c r="D19" t="s">
        <v>11</v>
      </c>
      <c r="E19">
        <v>12</v>
      </c>
      <c r="F19">
        <v>17</v>
      </c>
      <c r="G19">
        <v>-5</v>
      </c>
      <c r="H19">
        <v>0</v>
      </c>
      <c r="I19" t="s">
        <v>42</v>
      </c>
      <c r="M19" t="s">
        <v>9</v>
      </c>
    </row>
    <row r="20" spans="1:13">
      <c r="A20" t="s">
        <v>43</v>
      </c>
      <c r="B20" t="s">
        <v>36</v>
      </c>
      <c r="C20">
        <v>2024</v>
      </c>
      <c r="D20" t="s">
        <v>11</v>
      </c>
      <c r="E20">
        <v>20</v>
      </c>
      <c r="F20">
        <v>19</v>
      </c>
      <c r="G20">
        <v>1</v>
      </c>
      <c r="H20">
        <v>0</v>
      </c>
      <c r="I20" t="s">
        <v>42</v>
      </c>
      <c r="M20" t="s">
        <v>41</v>
      </c>
    </row>
    <row r="21" spans="1:13">
      <c r="A21" t="s">
        <v>44</v>
      </c>
      <c r="B21" t="s">
        <v>30</v>
      </c>
      <c r="C21">
        <v>2024</v>
      </c>
      <c r="D21" t="s">
        <v>11</v>
      </c>
      <c r="E21">
        <v>17</v>
      </c>
      <c r="F21">
        <v>15</v>
      </c>
      <c r="G21">
        <v>2</v>
      </c>
      <c r="H21">
        <v>0</v>
      </c>
      <c r="I21" t="s">
        <v>24</v>
      </c>
      <c r="M21" t="s">
        <v>52</v>
      </c>
    </row>
    <row r="22" spans="1:13">
      <c r="A22" t="s">
        <v>9</v>
      </c>
      <c r="B22" t="s">
        <v>10</v>
      </c>
      <c r="C22">
        <v>2024</v>
      </c>
      <c r="D22" t="s">
        <v>45</v>
      </c>
      <c r="E22">
        <v>11</v>
      </c>
      <c r="F22">
        <v>18</v>
      </c>
      <c r="G22">
        <v>-7</v>
      </c>
      <c r="H22">
        <v>0</v>
      </c>
      <c r="I22" t="s">
        <v>42</v>
      </c>
      <c r="M22" t="s">
        <v>25</v>
      </c>
    </row>
    <row r="23" spans="1:13">
      <c r="A23" t="s">
        <v>13</v>
      </c>
      <c r="B23" t="s">
        <v>14</v>
      </c>
      <c r="C23">
        <v>2024</v>
      </c>
      <c r="D23" t="s">
        <v>45</v>
      </c>
      <c r="E23">
        <v>10</v>
      </c>
      <c r="F23">
        <v>8</v>
      </c>
      <c r="G23">
        <v>2</v>
      </c>
      <c r="H23">
        <v>4</v>
      </c>
      <c r="I23" t="s">
        <v>12</v>
      </c>
      <c r="M23" t="s">
        <v>102</v>
      </c>
    </row>
    <row r="24" spans="1:13">
      <c r="A24" t="s">
        <v>15</v>
      </c>
      <c r="B24" t="s">
        <v>16</v>
      </c>
      <c r="C24">
        <v>2024</v>
      </c>
      <c r="D24" t="s">
        <v>45</v>
      </c>
      <c r="E24">
        <v>16</v>
      </c>
      <c r="F24">
        <v>9</v>
      </c>
      <c r="G24">
        <v>7</v>
      </c>
      <c r="H24">
        <v>2</v>
      </c>
      <c r="I24" t="s">
        <v>12</v>
      </c>
      <c r="M24" t="s">
        <v>101</v>
      </c>
    </row>
    <row r="25" spans="1:13">
      <c r="A25" t="s">
        <v>17</v>
      </c>
      <c r="B25" t="s">
        <v>18</v>
      </c>
      <c r="C25">
        <v>2024</v>
      </c>
      <c r="D25" t="s">
        <v>45</v>
      </c>
      <c r="E25">
        <v>6</v>
      </c>
      <c r="F25">
        <v>5</v>
      </c>
      <c r="G25">
        <v>1</v>
      </c>
      <c r="H25">
        <v>10</v>
      </c>
      <c r="I25" t="s">
        <v>12</v>
      </c>
      <c r="M25" t="s">
        <v>15</v>
      </c>
    </row>
    <row r="26" spans="1:13">
      <c r="A26" t="s">
        <v>46</v>
      </c>
      <c r="B26" t="s">
        <v>38</v>
      </c>
      <c r="C26">
        <v>2024</v>
      </c>
      <c r="D26" t="s">
        <v>45</v>
      </c>
      <c r="E26">
        <v>18</v>
      </c>
      <c r="F26">
        <v>12</v>
      </c>
      <c r="G26">
        <v>6</v>
      </c>
      <c r="H26">
        <v>0</v>
      </c>
      <c r="I26" t="s">
        <v>24</v>
      </c>
      <c r="M26" t="s">
        <v>116</v>
      </c>
    </row>
    <row r="27" spans="1:13">
      <c r="A27" t="s">
        <v>20</v>
      </c>
      <c r="B27" t="s">
        <v>21</v>
      </c>
      <c r="C27">
        <v>2024</v>
      </c>
      <c r="D27" t="s">
        <v>45</v>
      </c>
      <c r="E27">
        <v>13</v>
      </c>
      <c r="F27">
        <v>14</v>
      </c>
      <c r="G27">
        <v>-1</v>
      </c>
      <c r="H27">
        <v>0</v>
      </c>
      <c r="I27" t="s">
        <v>24</v>
      </c>
      <c r="M27" t="s">
        <v>88</v>
      </c>
    </row>
    <row r="28" spans="1:13">
      <c r="A28" t="s">
        <v>23</v>
      </c>
      <c r="B28" t="s">
        <v>16</v>
      </c>
      <c r="C28">
        <v>2024</v>
      </c>
      <c r="D28" t="s">
        <v>45</v>
      </c>
      <c r="E28">
        <v>14</v>
      </c>
      <c r="F28">
        <v>10</v>
      </c>
      <c r="G28">
        <v>4</v>
      </c>
      <c r="H28">
        <v>1</v>
      </c>
      <c r="I28" t="s">
        <v>24</v>
      </c>
      <c r="M28" t="s">
        <v>56</v>
      </c>
    </row>
    <row r="29" spans="1:13">
      <c r="A29" t="s">
        <v>25</v>
      </c>
      <c r="B29" t="s">
        <v>18</v>
      </c>
      <c r="C29">
        <v>2024</v>
      </c>
      <c r="D29" t="s">
        <v>45</v>
      </c>
      <c r="E29">
        <v>1</v>
      </c>
      <c r="F29">
        <v>19</v>
      </c>
      <c r="G29">
        <v>-18</v>
      </c>
      <c r="H29">
        <v>0</v>
      </c>
      <c r="I29" t="s">
        <v>47</v>
      </c>
      <c r="M29" t="s">
        <v>40</v>
      </c>
    </row>
    <row r="30" spans="1:13">
      <c r="A30" t="s">
        <v>26</v>
      </c>
      <c r="B30" t="s">
        <v>27</v>
      </c>
      <c r="C30">
        <v>2024</v>
      </c>
      <c r="D30" t="s">
        <v>45</v>
      </c>
      <c r="E30">
        <v>2</v>
      </c>
      <c r="F30">
        <v>1</v>
      </c>
      <c r="G30">
        <v>1</v>
      </c>
      <c r="H30">
        <v>25</v>
      </c>
      <c r="I30" t="s">
        <v>12</v>
      </c>
      <c r="M30" t="s">
        <v>29</v>
      </c>
    </row>
    <row r="31" spans="1:13">
      <c r="A31" t="s">
        <v>48</v>
      </c>
      <c r="B31" t="s">
        <v>30</v>
      </c>
      <c r="C31">
        <v>2024</v>
      </c>
      <c r="D31" t="s">
        <v>45</v>
      </c>
      <c r="E31">
        <v>15</v>
      </c>
      <c r="F31">
        <v>16</v>
      </c>
      <c r="G31">
        <v>-1</v>
      </c>
      <c r="H31">
        <v>0</v>
      </c>
      <c r="I31" t="s">
        <v>24</v>
      </c>
      <c r="M31" t="s">
        <v>133</v>
      </c>
    </row>
    <row r="32" spans="1:13">
      <c r="A32" t="s">
        <v>28</v>
      </c>
      <c r="B32" t="s">
        <v>14</v>
      </c>
      <c r="C32">
        <v>2024</v>
      </c>
      <c r="D32" t="s">
        <v>45</v>
      </c>
      <c r="E32">
        <v>9</v>
      </c>
      <c r="F32">
        <v>6</v>
      </c>
      <c r="G32">
        <v>3</v>
      </c>
      <c r="H32">
        <v>8</v>
      </c>
      <c r="I32" t="s">
        <v>12</v>
      </c>
      <c r="M32" t="s">
        <v>117</v>
      </c>
    </row>
    <row r="33" spans="1:13">
      <c r="A33" t="s">
        <v>29</v>
      </c>
      <c r="B33" t="s">
        <v>30</v>
      </c>
      <c r="C33">
        <v>2024</v>
      </c>
      <c r="D33" t="s">
        <v>45</v>
      </c>
      <c r="E33">
        <v>17</v>
      </c>
      <c r="F33">
        <v>13</v>
      </c>
      <c r="G33">
        <v>4</v>
      </c>
      <c r="H33">
        <v>0</v>
      </c>
      <c r="I33" t="s">
        <v>24</v>
      </c>
      <c r="M33" t="s">
        <v>128</v>
      </c>
    </row>
    <row r="34" spans="1:13">
      <c r="A34" t="s">
        <v>31</v>
      </c>
      <c r="B34" t="s">
        <v>27</v>
      </c>
      <c r="C34">
        <v>2024</v>
      </c>
      <c r="D34" t="s">
        <v>45</v>
      </c>
      <c r="E34">
        <v>4</v>
      </c>
      <c r="F34">
        <v>2</v>
      </c>
      <c r="G34">
        <v>2</v>
      </c>
      <c r="H34">
        <v>19</v>
      </c>
      <c r="I34" t="s">
        <v>12</v>
      </c>
      <c r="M34" t="s">
        <v>100</v>
      </c>
    </row>
    <row r="35" spans="1:13">
      <c r="A35" t="s">
        <v>32</v>
      </c>
      <c r="B35" t="s">
        <v>33</v>
      </c>
      <c r="C35">
        <v>2024</v>
      </c>
      <c r="D35" t="s">
        <v>45</v>
      </c>
      <c r="E35">
        <v>3</v>
      </c>
      <c r="F35">
        <v>3</v>
      </c>
      <c r="G35">
        <v>0</v>
      </c>
      <c r="H35">
        <v>15</v>
      </c>
      <c r="I35" t="s">
        <v>12</v>
      </c>
      <c r="M35" t="s">
        <v>17</v>
      </c>
    </row>
    <row r="36" spans="1:13">
      <c r="A36" t="s">
        <v>34</v>
      </c>
      <c r="B36" t="s">
        <v>10</v>
      </c>
      <c r="C36">
        <v>2024</v>
      </c>
      <c r="D36" t="s">
        <v>45</v>
      </c>
      <c r="E36">
        <v>7</v>
      </c>
      <c r="F36">
        <v>17</v>
      </c>
      <c r="G36">
        <v>-10</v>
      </c>
      <c r="H36">
        <v>0</v>
      </c>
      <c r="I36" t="s">
        <v>49</v>
      </c>
      <c r="M36" t="s">
        <v>20</v>
      </c>
    </row>
    <row r="37" spans="1:13">
      <c r="A37" t="s">
        <v>35</v>
      </c>
      <c r="B37" t="s">
        <v>36</v>
      </c>
      <c r="C37">
        <v>2024</v>
      </c>
      <c r="D37" t="s">
        <v>45</v>
      </c>
      <c r="E37">
        <v>12</v>
      </c>
      <c r="F37">
        <v>11</v>
      </c>
      <c r="G37">
        <v>1</v>
      </c>
      <c r="H37">
        <v>0</v>
      </c>
      <c r="I37" t="s">
        <v>24</v>
      </c>
      <c r="M37" t="s">
        <v>37</v>
      </c>
    </row>
    <row r="38" spans="1:13">
      <c r="A38" t="s">
        <v>37</v>
      </c>
      <c r="B38" t="s">
        <v>38</v>
      </c>
      <c r="C38">
        <v>2024</v>
      </c>
      <c r="D38" t="s">
        <v>45</v>
      </c>
      <c r="E38">
        <v>8</v>
      </c>
      <c r="F38">
        <v>7</v>
      </c>
      <c r="G38">
        <v>1</v>
      </c>
      <c r="H38">
        <v>6</v>
      </c>
      <c r="I38" t="s">
        <v>12</v>
      </c>
    </row>
    <row r="39" spans="1:13">
      <c r="A39" t="s">
        <v>39</v>
      </c>
      <c r="B39" t="s">
        <v>21</v>
      </c>
      <c r="C39">
        <v>2024</v>
      </c>
      <c r="D39" t="s">
        <v>45</v>
      </c>
      <c r="E39">
        <v>19</v>
      </c>
      <c r="F39">
        <v>15</v>
      </c>
      <c r="G39">
        <v>4</v>
      </c>
      <c r="H39">
        <v>0</v>
      </c>
      <c r="I39" t="s">
        <v>24</v>
      </c>
    </row>
    <row r="40" spans="1:13">
      <c r="A40" t="s">
        <v>40</v>
      </c>
      <c r="B40" t="s">
        <v>33</v>
      </c>
      <c r="C40">
        <v>2024</v>
      </c>
      <c r="D40" t="s">
        <v>45</v>
      </c>
      <c r="E40">
        <v>5</v>
      </c>
      <c r="F40">
        <v>4</v>
      </c>
      <c r="G40">
        <v>1</v>
      </c>
      <c r="H40">
        <v>12</v>
      </c>
      <c r="I40" t="s">
        <v>12</v>
      </c>
    </row>
    <row r="41" spans="1:13">
      <c r="A41" t="s">
        <v>9</v>
      </c>
      <c r="B41" t="s">
        <v>10</v>
      </c>
      <c r="C41">
        <v>2024</v>
      </c>
      <c r="D41" t="s">
        <v>50</v>
      </c>
      <c r="E41">
        <v>5</v>
      </c>
      <c r="F41">
        <v>4</v>
      </c>
      <c r="G41">
        <v>1</v>
      </c>
      <c r="H41">
        <v>12</v>
      </c>
      <c r="I41" t="s">
        <v>12</v>
      </c>
    </row>
    <row r="42" spans="1:13">
      <c r="A42" t="s">
        <v>13</v>
      </c>
      <c r="B42" t="s">
        <v>14</v>
      </c>
      <c r="C42">
        <v>2024</v>
      </c>
      <c r="D42" t="s">
        <v>50</v>
      </c>
      <c r="E42">
        <v>15</v>
      </c>
      <c r="F42">
        <v>18</v>
      </c>
      <c r="G42">
        <v>-3</v>
      </c>
      <c r="H42">
        <v>0</v>
      </c>
      <c r="I42" t="s">
        <v>24</v>
      </c>
    </row>
    <row r="43" spans="1:13">
      <c r="A43" t="s">
        <v>15</v>
      </c>
      <c r="B43" t="s">
        <v>16</v>
      </c>
      <c r="C43">
        <v>2024</v>
      </c>
      <c r="D43" t="s">
        <v>50</v>
      </c>
      <c r="E43">
        <v>9</v>
      </c>
      <c r="F43">
        <v>6</v>
      </c>
      <c r="G43">
        <v>3</v>
      </c>
      <c r="H43">
        <v>8</v>
      </c>
      <c r="I43" t="s">
        <v>12</v>
      </c>
    </row>
    <row r="44" spans="1:13">
      <c r="A44" t="s">
        <v>17</v>
      </c>
      <c r="B44" t="s">
        <v>18</v>
      </c>
      <c r="C44">
        <v>2024</v>
      </c>
      <c r="D44" t="s">
        <v>50</v>
      </c>
      <c r="E44">
        <v>8</v>
      </c>
      <c r="F44">
        <v>7</v>
      </c>
      <c r="G44">
        <v>1</v>
      </c>
      <c r="H44">
        <v>6</v>
      </c>
      <c r="I44" t="s">
        <v>12</v>
      </c>
    </row>
    <row r="45" spans="1:13">
      <c r="A45" t="s">
        <v>46</v>
      </c>
      <c r="B45" t="s">
        <v>38</v>
      </c>
      <c r="C45">
        <v>2024</v>
      </c>
      <c r="D45" t="s">
        <v>50</v>
      </c>
      <c r="E45">
        <v>11</v>
      </c>
      <c r="F45">
        <v>9</v>
      </c>
      <c r="G45">
        <v>2</v>
      </c>
      <c r="H45">
        <v>2</v>
      </c>
      <c r="I45" t="s">
        <v>12</v>
      </c>
    </row>
    <row r="46" spans="1:13">
      <c r="A46" t="s">
        <v>20</v>
      </c>
      <c r="B46" t="s">
        <v>21</v>
      </c>
      <c r="C46">
        <v>2024</v>
      </c>
      <c r="D46" t="s">
        <v>50</v>
      </c>
      <c r="E46">
        <v>18</v>
      </c>
      <c r="F46">
        <v>16</v>
      </c>
      <c r="G46">
        <v>2</v>
      </c>
      <c r="H46">
        <v>0</v>
      </c>
      <c r="I46" t="s">
        <v>24</v>
      </c>
    </row>
    <row r="47" spans="1:13">
      <c r="A47" t="s">
        <v>23</v>
      </c>
      <c r="B47" t="s">
        <v>16</v>
      </c>
      <c r="C47">
        <v>2024</v>
      </c>
      <c r="D47" t="s">
        <v>50</v>
      </c>
      <c r="E47">
        <v>12</v>
      </c>
      <c r="F47">
        <v>8</v>
      </c>
      <c r="G47">
        <v>4</v>
      </c>
      <c r="H47">
        <v>4</v>
      </c>
      <c r="I47" t="s">
        <v>12</v>
      </c>
    </row>
    <row r="48" spans="1:13">
      <c r="A48" t="s">
        <v>25</v>
      </c>
      <c r="B48" t="s">
        <v>18</v>
      </c>
      <c r="C48">
        <v>2024</v>
      </c>
      <c r="D48" t="s">
        <v>50</v>
      </c>
      <c r="E48">
        <v>1</v>
      </c>
      <c r="F48">
        <v>5</v>
      </c>
      <c r="G48">
        <v>-4</v>
      </c>
      <c r="H48">
        <v>10</v>
      </c>
      <c r="I48" t="s">
        <v>12</v>
      </c>
    </row>
    <row r="49" spans="1:9">
      <c r="A49" t="s">
        <v>26</v>
      </c>
      <c r="B49" t="s">
        <v>27</v>
      </c>
      <c r="C49">
        <v>2024</v>
      </c>
      <c r="D49" t="s">
        <v>50</v>
      </c>
      <c r="E49">
        <v>4</v>
      </c>
      <c r="F49">
        <v>3</v>
      </c>
      <c r="G49">
        <v>1</v>
      </c>
      <c r="H49">
        <v>15</v>
      </c>
      <c r="I49" t="s">
        <v>12</v>
      </c>
    </row>
    <row r="50" spans="1:9">
      <c r="A50" t="s">
        <v>48</v>
      </c>
      <c r="B50" t="s">
        <v>30</v>
      </c>
      <c r="C50">
        <v>2024</v>
      </c>
      <c r="D50" t="s">
        <v>50</v>
      </c>
      <c r="E50">
        <v>10</v>
      </c>
      <c r="F50">
        <v>12</v>
      </c>
      <c r="G50">
        <v>-2</v>
      </c>
      <c r="H50">
        <v>0</v>
      </c>
      <c r="I50" t="s">
        <v>12</v>
      </c>
    </row>
    <row r="51" spans="1:9">
      <c r="A51" t="s">
        <v>28</v>
      </c>
      <c r="B51" t="s">
        <v>14</v>
      </c>
      <c r="C51">
        <v>2024</v>
      </c>
      <c r="D51" t="s">
        <v>50</v>
      </c>
      <c r="E51">
        <v>17</v>
      </c>
      <c r="F51">
        <v>13</v>
      </c>
      <c r="G51">
        <v>4</v>
      </c>
      <c r="H51">
        <v>0</v>
      </c>
      <c r="I51" t="s">
        <v>24</v>
      </c>
    </row>
    <row r="52" spans="1:9">
      <c r="A52" t="s">
        <v>29</v>
      </c>
      <c r="B52" t="s">
        <v>30</v>
      </c>
      <c r="C52">
        <v>2024</v>
      </c>
      <c r="D52" t="s">
        <v>50</v>
      </c>
      <c r="E52">
        <v>13</v>
      </c>
      <c r="F52">
        <v>10</v>
      </c>
      <c r="G52">
        <v>3</v>
      </c>
      <c r="H52">
        <v>1</v>
      </c>
      <c r="I52" t="s">
        <v>12</v>
      </c>
    </row>
    <row r="53" spans="1:9">
      <c r="A53" t="s">
        <v>31</v>
      </c>
      <c r="B53" t="s">
        <v>27</v>
      </c>
      <c r="C53">
        <v>2024</v>
      </c>
      <c r="D53" t="s">
        <v>50</v>
      </c>
      <c r="E53">
        <v>6</v>
      </c>
      <c r="F53">
        <v>11</v>
      </c>
      <c r="G53">
        <v>-5</v>
      </c>
      <c r="H53">
        <v>0</v>
      </c>
      <c r="I53" t="s">
        <v>12</v>
      </c>
    </row>
    <row r="54" spans="1:9">
      <c r="A54" t="s">
        <v>32</v>
      </c>
      <c r="B54" t="s">
        <v>33</v>
      </c>
      <c r="C54">
        <v>2024</v>
      </c>
      <c r="D54" t="s">
        <v>50</v>
      </c>
      <c r="E54">
        <v>2</v>
      </c>
      <c r="F54">
        <v>20</v>
      </c>
      <c r="G54">
        <v>-18</v>
      </c>
      <c r="H54">
        <v>0</v>
      </c>
      <c r="I54" t="s">
        <v>51</v>
      </c>
    </row>
    <row r="55" spans="1:9">
      <c r="A55" t="s">
        <v>34</v>
      </c>
      <c r="B55" t="s">
        <v>10</v>
      </c>
      <c r="C55">
        <v>2024</v>
      </c>
      <c r="D55" t="s">
        <v>50</v>
      </c>
      <c r="E55">
        <v>3</v>
      </c>
      <c r="F55">
        <v>1</v>
      </c>
      <c r="G55">
        <v>2</v>
      </c>
      <c r="H55">
        <v>25</v>
      </c>
      <c r="I55" t="s">
        <v>12</v>
      </c>
    </row>
    <row r="56" spans="1:9">
      <c r="A56" t="s">
        <v>35</v>
      </c>
      <c r="B56" t="s">
        <v>36</v>
      </c>
      <c r="C56">
        <v>2024</v>
      </c>
      <c r="D56" t="s">
        <v>50</v>
      </c>
      <c r="E56">
        <v>16</v>
      </c>
      <c r="F56">
        <v>15</v>
      </c>
      <c r="G56">
        <v>1</v>
      </c>
      <c r="H56">
        <v>0</v>
      </c>
      <c r="I56" t="s">
        <v>24</v>
      </c>
    </row>
    <row r="57" spans="1:9">
      <c r="A57" t="s">
        <v>37</v>
      </c>
      <c r="B57" t="s">
        <v>38</v>
      </c>
      <c r="C57">
        <v>2024</v>
      </c>
      <c r="D57" t="s">
        <v>50</v>
      </c>
      <c r="E57">
        <v>14</v>
      </c>
      <c r="F57">
        <v>14</v>
      </c>
      <c r="G57">
        <v>0</v>
      </c>
      <c r="H57">
        <v>0</v>
      </c>
      <c r="I57" t="s">
        <v>24</v>
      </c>
    </row>
    <row r="58" spans="1:9">
      <c r="A58" t="s">
        <v>39</v>
      </c>
      <c r="B58" t="s">
        <v>21</v>
      </c>
      <c r="C58">
        <v>2024</v>
      </c>
      <c r="D58" t="s">
        <v>50</v>
      </c>
      <c r="E58">
        <v>20</v>
      </c>
      <c r="F58">
        <v>17</v>
      </c>
      <c r="G58">
        <v>3</v>
      </c>
      <c r="H58">
        <v>0</v>
      </c>
      <c r="I58" t="s">
        <v>24</v>
      </c>
    </row>
    <row r="59" spans="1:9">
      <c r="A59" t="s">
        <v>40</v>
      </c>
      <c r="B59" t="s">
        <v>33</v>
      </c>
      <c r="C59">
        <v>2024</v>
      </c>
      <c r="D59" t="s">
        <v>50</v>
      </c>
      <c r="E59">
        <v>7</v>
      </c>
      <c r="F59">
        <v>2</v>
      </c>
      <c r="G59">
        <v>5</v>
      </c>
      <c r="H59">
        <v>18</v>
      </c>
      <c r="I59" t="s">
        <v>12</v>
      </c>
    </row>
    <row r="60" spans="1:9">
      <c r="A60" t="s">
        <v>52</v>
      </c>
      <c r="B60" t="s">
        <v>36</v>
      </c>
      <c r="C60">
        <v>2024</v>
      </c>
      <c r="D60" t="s">
        <v>50</v>
      </c>
      <c r="E60">
        <v>19</v>
      </c>
      <c r="F60">
        <v>19</v>
      </c>
      <c r="G60">
        <v>0</v>
      </c>
      <c r="H60">
        <v>0</v>
      </c>
      <c r="I60" t="s">
        <v>53</v>
      </c>
    </row>
    <row r="61" spans="1:9">
      <c r="A61" t="s">
        <v>9</v>
      </c>
      <c r="B61" t="s">
        <v>10</v>
      </c>
      <c r="C61">
        <v>2024</v>
      </c>
      <c r="D61" t="s">
        <v>54</v>
      </c>
      <c r="E61">
        <v>0</v>
      </c>
      <c r="F61">
        <v>9</v>
      </c>
      <c r="G61">
        <v>-9</v>
      </c>
      <c r="H61">
        <v>2</v>
      </c>
      <c r="I61" t="s">
        <v>12</v>
      </c>
    </row>
    <row r="62" spans="1:9">
      <c r="A62" t="s">
        <v>13</v>
      </c>
      <c r="B62" t="s">
        <v>14</v>
      </c>
      <c r="C62">
        <v>2024</v>
      </c>
      <c r="D62" t="s">
        <v>54</v>
      </c>
      <c r="E62">
        <v>7</v>
      </c>
      <c r="F62">
        <v>6</v>
      </c>
      <c r="G62">
        <v>1</v>
      </c>
      <c r="H62">
        <v>8</v>
      </c>
      <c r="I62" t="s">
        <v>12</v>
      </c>
    </row>
    <row r="63" spans="1:9">
      <c r="A63" t="s">
        <v>15</v>
      </c>
      <c r="B63" t="s">
        <v>16</v>
      </c>
      <c r="C63">
        <v>2024</v>
      </c>
      <c r="D63" t="s">
        <v>54</v>
      </c>
      <c r="E63">
        <v>12</v>
      </c>
      <c r="F63">
        <v>11</v>
      </c>
      <c r="G63">
        <v>1</v>
      </c>
      <c r="H63">
        <v>0</v>
      </c>
      <c r="I63" t="s">
        <v>12</v>
      </c>
    </row>
    <row r="64" spans="1:9">
      <c r="A64" t="s">
        <v>17</v>
      </c>
      <c r="B64" t="s">
        <v>18</v>
      </c>
      <c r="C64">
        <v>2024</v>
      </c>
      <c r="D64" t="s">
        <v>54</v>
      </c>
      <c r="E64">
        <v>4</v>
      </c>
      <c r="F64">
        <v>17</v>
      </c>
      <c r="G64">
        <v>-13</v>
      </c>
      <c r="H64">
        <v>0</v>
      </c>
      <c r="I64" t="s">
        <v>55</v>
      </c>
    </row>
    <row r="65" spans="1:9">
      <c r="A65" t="s">
        <v>46</v>
      </c>
      <c r="B65" t="s">
        <v>38</v>
      </c>
      <c r="C65">
        <v>2024</v>
      </c>
      <c r="D65" t="s">
        <v>54</v>
      </c>
      <c r="E65">
        <v>14</v>
      </c>
      <c r="F65">
        <v>13</v>
      </c>
      <c r="G65">
        <v>1</v>
      </c>
      <c r="H65">
        <v>0</v>
      </c>
      <c r="I65" t="s">
        <v>12</v>
      </c>
    </row>
    <row r="66" spans="1:9">
      <c r="A66" t="s">
        <v>20</v>
      </c>
      <c r="B66" t="s">
        <v>21</v>
      </c>
      <c r="C66">
        <v>2024</v>
      </c>
      <c r="D66" t="s">
        <v>54</v>
      </c>
      <c r="E66">
        <v>16</v>
      </c>
      <c r="F66">
        <v>16</v>
      </c>
      <c r="G66">
        <v>0</v>
      </c>
      <c r="H66">
        <v>0</v>
      </c>
      <c r="I66" t="s">
        <v>24</v>
      </c>
    </row>
    <row r="67" spans="1:9">
      <c r="A67" t="s">
        <v>25</v>
      </c>
      <c r="B67" t="s">
        <v>18</v>
      </c>
      <c r="C67">
        <v>2024</v>
      </c>
      <c r="D67" t="s">
        <v>54</v>
      </c>
      <c r="E67">
        <v>6</v>
      </c>
      <c r="F67">
        <v>5</v>
      </c>
      <c r="G67">
        <v>1</v>
      </c>
      <c r="H67">
        <v>10</v>
      </c>
      <c r="I67" t="s">
        <v>12</v>
      </c>
    </row>
    <row r="68" spans="1:9">
      <c r="A68" t="s">
        <v>26</v>
      </c>
      <c r="B68" t="s">
        <v>27</v>
      </c>
      <c r="C68">
        <v>2024</v>
      </c>
      <c r="D68" t="s">
        <v>54</v>
      </c>
      <c r="E68">
        <v>3</v>
      </c>
      <c r="F68">
        <v>18</v>
      </c>
      <c r="G68">
        <v>-15</v>
      </c>
      <c r="H68">
        <v>0</v>
      </c>
      <c r="I68" t="s">
        <v>55</v>
      </c>
    </row>
    <row r="69" spans="1:9">
      <c r="A69" t="s">
        <v>48</v>
      </c>
      <c r="B69" t="s">
        <v>30</v>
      </c>
      <c r="C69">
        <v>2024</v>
      </c>
      <c r="D69" t="s">
        <v>54</v>
      </c>
      <c r="E69">
        <v>0</v>
      </c>
      <c r="F69">
        <v>15</v>
      </c>
      <c r="G69">
        <v>-15</v>
      </c>
      <c r="H69">
        <v>0</v>
      </c>
      <c r="I69" t="s">
        <v>24</v>
      </c>
    </row>
    <row r="70" spans="1:9">
      <c r="A70" t="s">
        <v>28</v>
      </c>
      <c r="B70" t="s">
        <v>14</v>
      </c>
      <c r="C70">
        <v>2024</v>
      </c>
      <c r="D70" t="s">
        <v>54</v>
      </c>
      <c r="E70">
        <v>13</v>
      </c>
      <c r="F70">
        <v>19</v>
      </c>
      <c r="G70">
        <v>-6</v>
      </c>
      <c r="H70">
        <v>0</v>
      </c>
      <c r="I70" t="s">
        <v>55</v>
      </c>
    </row>
    <row r="71" spans="1:9">
      <c r="A71" t="s">
        <v>29</v>
      </c>
      <c r="B71" t="s">
        <v>30</v>
      </c>
      <c r="C71">
        <v>2024</v>
      </c>
      <c r="D71" t="s">
        <v>54</v>
      </c>
      <c r="E71">
        <v>18</v>
      </c>
      <c r="F71">
        <v>12</v>
      </c>
      <c r="G71">
        <v>6</v>
      </c>
      <c r="H71">
        <v>0</v>
      </c>
      <c r="I71" t="s">
        <v>12</v>
      </c>
    </row>
    <row r="72" spans="1:9">
      <c r="A72" t="s">
        <v>31</v>
      </c>
      <c r="B72" t="s">
        <v>27</v>
      </c>
      <c r="C72">
        <v>2024</v>
      </c>
      <c r="D72" t="s">
        <v>54</v>
      </c>
      <c r="E72">
        <v>1</v>
      </c>
      <c r="F72">
        <v>2</v>
      </c>
      <c r="G72">
        <v>-1</v>
      </c>
      <c r="H72">
        <v>18</v>
      </c>
      <c r="I72" t="s">
        <v>12</v>
      </c>
    </row>
    <row r="73" spans="1:9">
      <c r="A73" t="s">
        <v>32</v>
      </c>
      <c r="B73" t="s">
        <v>33</v>
      </c>
      <c r="C73">
        <v>2024</v>
      </c>
      <c r="D73" t="s">
        <v>54</v>
      </c>
      <c r="E73">
        <v>15</v>
      </c>
      <c r="F73">
        <v>4</v>
      </c>
      <c r="G73">
        <v>11</v>
      </c>
      <c r="H73">
        <v>13</v>
      </c>
      <c r="I73" t="s">
        <v>12</v>
      </c>
    </row>
    <row r="74" spans="1:9">
      <c r="A74" t="s">
        <v>34</v>
      </c>
      <c r="B74" t="s">
        <v>10</v>
      </c>
      <c r="C74">
        <v>2024</v>
      </c>
      <c r="D74" t="s">
        <v>54</v>
      </c>
      <c r="E74">
        <v>5</v>
      </c>
      <c r="F74">
        <v>3</v>
      </c>
      <c r="G74">
        <v>2</v>
      </c>
      <c r="H74">
        <v>15</v>
      </c>
      <c r="I74" t="s">
        <v>12</v>
      </c>
    </row>
    <row r="75" spans="1:9">
      <c r="A75" t="s">
        <v>35</v>
      </c>
      <c r="B75" t="s">
        <v>36</v>
      </c>
      <c r="C75">
        <v>2024</v>
      </c>
      <c r="D75" t="s">
        <v>54</v>
      </c>
      <c r="E75">
        <v>9</v>
      </c>
      <c r="F75">
        <v>7</v>
      </c>
      <c r="G75">
        <v>2</v>
      </c>
      <c r="H75">
        <v>6</v>
      </c>
      <c r="I75" t="s">
        <v>12</v>
      </c>
    </row>
    <row r="76" spans="1:9">
      <c r="A76" t="s">
        <v>37</v>
      </c>
      <c r="B76" t="s">
        <v>38</v>
      </c>
      <c r="C76">
        <v>2024</v>
      </c>
      <c r="D76" t="s">
        <v>54</v>
      </c>
      <c r="E76">
        <v>11</v>
      </c>
      <c r="F76">
        <v>20</v>
      </c>
      <c r="G76">
        <v>-9</v>
      </c>
      <c r="H76">
        <v>0</v>
      </c>
      <c r="I76" t="s">
        <v>55</v>
      </c>
    </row>
    <row r="77" spans="1:9">
      <c r="A77" t="s">
        <v>39</v>
      </c>
      <c r="B77" t="s">
        <v>21</v>
      </c>
      <c r="C77">
        <v>2024</v>
      </c>
      <c r="D77" t="s">
        <v>54</v>
      </c>
      <c r="E77">
        <v>17</v>
      </c>
      <c r="F77">
        <v>14</v>
      </c>
      <c r="G77">
        <v>3</v>
      </c>
      <c r="H77">
        <v>0</v>
      </c>
      <c r="I77" t="s">
        <v>12</v>
      </c>
    </row>
    <row r="78" spans="1:9">
      <c r="A78" t="s">
        <v>40</v>
      </c>
      <c r="B78" t="s">
        <v>33</v>
      </c>
      <c r="C78">
        <v>2024</v>
      </c>
      <c r="D78" t="s">
        <v>54</v>
      </c>
      <c r="E78">
        <v>2</v>
      </c>
      <c r="F78">
        <v>1</v>
      </c>
      <c r="G78">
        <v>1</v>
      </c>
      <c r="H78">
        <v>25</v>
      </c>
      <c r="I78" t="s">
        <v>12</v>
      </c>
    </row>
    <row r="79" spans="1:9">
      <c r="A79" t="s">
        <v>56</v>
      </c>
      <c r="B79" t="s">
        <v>16</v>
      </c>
      <c r="C79">
        <v>2024</v>
      </c>
      <c r="D79" t="s">
        <v>54</v>
      </c>
      <c r="E79">
        <v>10</v>
      </c>
      <c r="F79">
        <v>10</v>
      </c>
      <c r="G79">
        <v>0</v>
      </c>
      <c r="H79">
        <v>1</v>
      </c>
      <c r="I79" t="s">
        <v>12</v>
      </c>
    </row>
    <row r="80" spans="1:9">
      <c r="A80" t="s">
        <v>43</v>
      </c>
      <c r="B80" t="s">
        <v>36</v>
      </c>
      <c r="C80">
        <v>2024</v>
      </c>
      <c r="D80" t="s">
        <v>54</v>
      </c>
      <c r="E80">
        <v>8</v>
      </c>
      <c r="F80">
        <v>8</v>
      </c>
      <c r="G80">
        <v>0</v>
      </c>
      <c r="H80">
        <v>4</v>
      </c>
      <c r="I80" t="s">
        <v>12</v>
      </c>
    </row>
    <row r="81" spans="1:9">
      <c r="A81" t="s">
        <v>9</v>
      </c>
      <c r="B81" t="s">
        <v>10</v>
      </c>
      <c r="C81">
        <v>2024</v>
      </c>
      <c r="D81" t="s">
        <v>57</v>
      </c>
      <c r="E81">
        <v>9</v>
      </c>
      <c r="F81">
        <v>7</v>
      </c>
      <c r="G81">
        <v>2</v>
      </c>
      <c r="H81">
        <v>6</v>
      </c>
      <c r="I81" t="s">
        <v>12</v>
      </c>
    </row>
    <row r="82" spans="1:9">
      <c r="A82" t="s">
        <v>13</v>
      </c>
      <c r="B82" t="s">
        <v>14</v>
      </c>
      <c r="C82">
        <v>2024</v>
      </c>
      <c r="D82" t="s">
        <v>57</v>
      </c>
      <c r="E82">
        <v>6</v>
      </c>
      <c r="F82">
        <v>9</v>
      </c>
      <c r="G82">
        <v>-3</v>
      </c>
      <c r="H82">
        <v>2</v>
      </c>
      <c r="I82" t="s">
        <v>12</v>
      </c>
    </row>
    <row r="83" spans="1:9">
      <c r="A83" t="s">
        <v>15</v>
      </c>
      <c r="B83" t="s">
        <v>16</v>
      </c>
      <c r="C83">
        <v>2024</v>
      </c>
      <c r="D83" t="s">
        <v>57</v>
      </c>
      <c r="E83">
        <v>10</v>
      </c>
      <c r="F83">
        <v>16</v>
      </c>
      <c r="G83">
        <v>-6</v>
      </c>
      <c r="H83">
        <v>0</v>
      </c>
      <c r="I83" t="s">
        <v>24</v>
      </c>
    </row>
    <row r="84" spans="1:9">
      <c r="A84" t="s">
        <v>17</v>
      </c>
      <c r="B84" t="s">
        <v>18</v>
      </c>
      <c r="C84">
        <v>2024</v>
      </c>
      <c r="D84" t="s">
        <v>57</v>
      </c>
      <c r="E84">
        <v>5</v>
      </c>
      <c r="F84">
        <v>2</v>
      </c>
      <c r="G84">
        <v>3</v>
      </c>
      <c r="H84">
        <v>18</v>
      </c>
      <c r="I84" t="s">
        <v>12</v>
      </c>
    </row>
    <row r="85" spans="1:9">
      <c r="A85" t="s">
        <v>46</v>
      </c>
      <c r="B85" t="s">
        <v>38</v>
      </c>
      <c r="C85">
        <v>2024</v>
      </c>
      <c r="D85" t="s">
        <v>57</v>
      </c>
      <c r="E85">
        <v>14</v>
      </c>
      <c r="F85">
        <v>13</v>
      </c>
      <c r="G85">
        <v>1</v>
      </c>
      <c r="H85">
        <v>0</v>
      </c>
      <c r="I85" t="s">
        <v>24</v>
      </c>
    </row>
    <row r="86" spans="1:9">
      <c r="A86" t="s">
        <v>20</v>
      </c>
      <c r="B86" t="s">
        <v>21</v>
      </c>
      <c r="C86">
        <v>2024</v>
      </c>
      <c r="D86" t="s">
        <v>57</v>
      </c>
      <c r="E86">
        <v>16</v>
      </c>
      <c r="F86">
        <v>19</v>
      </c>
      <c r="G86">
        <v>-3</v>
      </c>
      <c r="H86">
        <v>0</v>
      </c>
      <c r="I86" t="s">
        <v>24</v>
      </c>
    </row>
    <row r="87" spans="1:9">
      <c r="A87" t="s">
        <v>23</v>
      </c>
      <c r="B87" t="s">
        <v>16</v>
      </c>
      <c r="C87">
        <v>2024</v>
      </c>
      <c r="D87" t="s">
        <v>57</v>
      </c>
      <c r="E87">
        <v>15</v>
      </c>
      <c r="F87">
        <v>12</v>
      </c>
      <c r="G87">
        <v>3</v>
      </c>
      <c r="H87">
        <v>0</v>
      </c>
      <c r="I87" t="s">
        <v>24</v>
      </c>
    </row>
    <row r="88" spans="1:9">
      <c r="A88" t="s">
        <v>25</v>
      </c>
      <c r="B88" t="s">
        <v>18</v>
      </c>
      <c r="C88">
        <v>2024</v>
      </c>
      <c r="D88" t="s">
        <v>57</v>
      </c>
      <c r="E88">
        <v>1</v>
      </c>
      <c r="F88">
        <v>1</v>
      </c>
      <c r="G88">
        <v>0</v>
      </c>
      <c r="H88">
        <v>26</v>
      </c>
      <c r="I88" t="s">
        <v>12</v>
      </c>
    </row>
    <row r="89" spans="1:9">
      <c r="A89" t="s">
        <v>26</v>
      </c>
      <c r="B89" t="s">
        <v>27</v>
      </c>
      <c r="C89">
        <v>2024</v>
      </c>
      <c r="D89" t="s">
        <v>57</v>
      </c>
      <c r="E89">
        <v>4</v>
      </c>
      <c r="F89">
        <v>3</v>
      </c>
      <c r="G89">
        <v>1</v>
      </c>
      <c r="H89">
        <v>15</v>
      </c>
      <c r="I89" t="s">
        <v>12</v>
      </c>
    </row>
    <row r="90" spans="1:9">
      <c r="A90" t="s">
        <v>48</v>
      </c>
      <c r="B90" t="s">
        <v>30</v>
      </c>
      <c r="C90">
        <v>2024</v>
      </c>
      <c r="D90" t="s">
        <v>57</v>
      </c>
      <c r="E90">
        <v>19</v>
      </c>
      <c r="F90">
        <v>17</v>
      </c>
      <c r="G90">
        <v>2</v>
      </c>
      <c r="H90">
        <v>0</v>
      </c>
      <c r="I90" t="s">
        <v>24</v>
      </c>
    </row>
    <row r="91" spans="1:9">
      <c r="A91" t="s">
        <v>28</v>
      </c>
      <c r="B91" t="s">
        <v>14</v>
      </c>
      <c r="C91">
        <v>2024</v>
      </c>
      <c r="D91" t="s">
        <v>57</v>
      </c>
      <c r="E91">
        <v>12</v>
      </c>
      <c r="F91">
        <v>10</v>
      </c>
      <c r="G91">
        <v>2</v>
      </c>
      <c r="H91">
        <v>1</v>
      </c>
      <c r="I91" t="s">
        <v>12</v>
      </c>
    </row>
    <row r="92" spans="1:9">
      <c r="A92" t="s">
        <v>29</v>
      </c>
      <c r="B92" t="s">
        <v>30</v>
      </c>
      <c r="C92">
        <v>2024</v>
      </c>
      <c r="D92" t="s">
        <v>57</v>
      </c>
      <c r="E92">
        <v>20</v>
      </c>
      <c r="F92">
        <v>18</v>
      </c>
      <c r="G92">
        <v>2</v>
      </c>
      <c r="H92">
        <v>0</v>
      </c>
      <c r="I92" t="s">
        <v>24</v>
      </c>
    </row>
    <row r="93" spans="1:9">
      <c r="A93" t="s">
        <v>31</v>
      </c>
      <c r="B93" t="s">
        <v>27</v>
      </c>
      <c r="C93">
        <v>2024</v>
      </c>
      <c r="D93" t="s">
        <v>57</v>
      </c>
      <c r="E93">
        <v>2</v>
      </c>
      <c r="F93">
        <v>4</v>
      </c>
      <c r="G93">
        <v>-2</v>
      </c>
      <c r="H93">
        <v>12</v>
      </c>
      <c r="I93" t="s">
        <v>12</v>
      </c>
    </row>
    <row r="94" spans="1:9">
      <c r="A94" t="s">
        <v>32</v>
      </c>
      <c r="B94" t="s">
        <v>33</v>
      </c>
      <c r="C94">
        <v>2024</v>
      </c>
      <c r="D94" t="s">
        <v>57</v>
      </c>
      <c r="E94">
        <v>7</v>
      </c>
      <c r="F94">
        <v>6</v>
      </c>
      <c r="G94">
        <v>1</v>
      </c>
      <c r="H94">
        <v>8</v>
      </c>
      <c r="I94" t="s">
        <v>12</v>
      </c>
    </row>
    <row r="95" spans="1:9">
      <c r="A95" t="s">
        <v>34</v>
      </c>
      <c r="B95" t="s">
        <v>10</v>
      </c>
      <c r="C95">
        <v>2024</v>
      </c>
      <c r="D95" t="s">
        <v>57</v>
      </c>
      <c r="E95">
        <v>3</v>
      </c>
      <c r="F95">
        <v>5</v>
      </c>
      <c r="G95">
        <v>-2</v>
      </c>
      <c r="H95">
        <v>10</v>
      </c>
      <c r="I95" t="s">
        <v>12</v>
      </c>
    </row>
    <row r="96" spans="1:9">
      <c r="A96" t="s">
        <v>35</v>
      </c>
      <c r="B96" t="s">
        <v>36</v>
      </c>
      <c r="C96">
        <v>2024</v>
      </c>
      <c r="D96" t="s">
        <v>57</v>
      </c>
      <c r="E96">
        <v>13</v>
      </c>
      <c r="F96">
        <v>15</v>
      </c>
      <c r="G96">
        <v>-2</v>
      </c>
      <c r="H96">
        <v>0</v>
      </c>
      <c r="I96" t="s">
        <v>24</v>
      </c>
    </row>
    <row r="97" spans="1:9">
      <c r="A97" t="s">
        <v>37</v>
      </c>
      <c r="B97" t="s">
        <v>38</v>
      </c>
      <c r="C97">
        <v>2024</v>
      </c>
      <c r="D97" t="s">
        <v>57</v>
      </c>
      <c r="E97">
        <v>11</v>
      </c>
      <c r="F97">
        <v>14</v>
      </c>
      <c r="G97">
        <v>-3</v>
      </c>
      <c r="H97">
        <v>0</v>
      </c>
      <c r="I97" t="s">
        <v>24</v>
      </c>
    </row>
    <row r="98" spans="1:9">
      <c r="A98" t="s">
        <v>39</v>
      </c>
      <c r="B98" t="s">
        <v>21</v>
      </c>
      <c r="C98">
        <v>2024</v>
      </c>
      <c r="D98" t="s">
        <v>57</v>
      </c>
      <c r="E98">
        <v>17</v>
      </c>
      <c r="F98">
        <v>11</v>
      </c>
      <c r="G98">
        <v>6</v>
      </c>
      <c r="H98">
        <v>0</v>
      </c>
      <c r="I98" t="s">
        <v>24</v>
      </c>
    </row>
    <row r="99" spans="1:9">
      <c r="A99" t="s">
        <v>40</v>
      </c>
      <c r="B99" t="s">
        <v>33</v>
      </c>
      <c r="C99">
        <v>2024</v>
      </c>
      <c r="D99" t="s">
        <v>57</v>
      </c>
      <c r="E99">
        <v>8</v>
      </c>
      <c r="F99">
        <v>8</v>
      </c>
      <c r="G99">
        <v>0</v>
      </c>
      <c r="H99">
        <v>4</v>
      </c>
      <c r="I99" t="s">
        <v>12</v>
      </c>
    </row>
    <row r="100" spans="1:9">
      <c r="A100" t="s">
        <v>52</v>
      </c>
      <c r="B100" t="s">
        <v>36</v>
      </c>
      <c r="C100">
        <v>2024</v>
      </c>
      <c r="D100" t="s">
        <v>57</v>
      </c>
      <c r="E100">
        <v>18</v>
      </c>
      <c r="F100">
        <v>20</v>
      </c>
      <c r="G100">
        <v>-2</v>
      </c>
      <c r="H100">
        <v>0</v>
      </c>
      <c r="I100" t="s">
        <v>53</v>
      </c>
    </row>
    <row r="101" spans="1:9">
      <c r="A101" t="s">
        <v>9</v>
      </c>
      <c r="B101" t="s">
        <v>10</v>
      </c>
      <c r="C101">
        <v>2024</v>
      </c>
      <c r="D101" t="s">
        <v>58</v>
      </c>
      <c r="E101">
        <v>3</v>
      </c>
      <c r="F101">
        <v>1</v>
      </c>
      <c r="G101">
        <v>2</v>
      </c>
      <c r="H101">
        <v>25</v>
      </c>
      <c r="I101" t="s">
        <v>12</v>
      </c>
    </row>
    <row r="102" spans="1:9">
      <c r="A102" t="s">
        <v>13</v>
      </c>
      <c r="B102" t="s">
        <v>14</v>
      </c>
      <c r="C102">
        <v>2024</v>
      </c>
      <c r="D102" t="s">
        <v>58</v>
      </c>
      <c r="E102">
        <v>8</v>
      </c>
      <c r="F102">
        <v>8</v>
      </c>
      <c r="G102">
        <v>0</v>
      </c>
      <c r="H102">
        <v>4</v>
      </c>
      <c r="I102" t="s">
        <v>12</v>
      </c>
    </row>
    <row r="103" spans="1:9">
      <c r="A103" t="s">
        <v>15</v>
      </c>
      <c r="B103" t="s">
        <v>16</v>
      </c>
      <c r="C103">
        <v>2024</v>
      </c>
      <c r="D103" t="s">
        <v>58</v>
      </c>
      <c r="E103">
        <v>16</v>
      </c>
      <c r="F103">
        <v>18</v>
      </c>
      <c r="G103">
        <v>-2</v>
      </c>
      <c r="H103">
        <v>0</v>
      </c>
      <c r="I103" t="s">
        <v>12</v>
      </c>
    </row>
    <row r="104" spans="1:9">
      <c r="A104" t="s">
        <v>17</v>
      </c>
      <c r="B104" t="s">
        <v>18</v>
      </c>
      <c r="C104">
        <v>2024</v>
      </c>
      <c r="D104" t="s">
        <v>58</v>
      </c>
      <c r="E104">
        <v>2</v>
      </c>
      <c r="F104">
        <v>7</v>
      </c>
      <c r="G104">
        <v>-5</v>
      </c>
      <c r="H104">
        <v>7</v>
      </c>
      <c r="I104" t="s">
        <v>12</v>
      </c>
    </row>
    <row r="105" spans="1:9">
      <c r="A105" t="s">
        <v>46</v>
      </c>
      <c r="B105" t="s">
        <v>38</v>
      </c>
      <c r="C105">
        <v>2024</v>
      </c>
      <c r="D105" t="s">
        <v>58</v>
      </c>
      <c r="E105">
        <v>13</v>
      </c>
      <c r="F105">
        <v>10</v>
      </c>
      <c r="G105">
        <v>3</v>
      </c>
      <c r="H105">
        <v>1</v>
      </c>
      <c r="I105" t="s">
        <v>12</v>
      </c>
    </row>
    <row r="106" spans="1:9">
      <c r="A106" t="s">
        <v>20</v>
      </c>
      <c r="B106" t="s">
        <v>21</v>
      </c>
      <c r="C106">
        <v>2024</v>
      </c>
      <c r="D106" t="s">
        <v>58</v>
      </c>
      <c r="E106">
        <v>14</v>
      </c>
      <c r="F106">
        <v>15</v>
      </c>
      <c r="G106">
        <v>-1</v>
      </c>
      <c r="H106">
        <v>0</v>
      </c>
      <c r="I106" t="s">
        <v>12</v>
      </c>
    </row>
    <row r="107" spans="1:9">
      <c r="A107" t="s">
        <v>23</v>
      </c>
      <c r="B107" t="s">
        <v>16</v>
      </c>
      <c r="C107">
        <v>2024</v>
      </c>
      <c r="D107" t="s">
        <v>58</v>
      </c>
      <c r="E107">
        <v>17</v>
      </c>
      <c r="F107">
        <v>14</v>
      </c>
      <c r="G107">
        <v>3</v>
      </c>
      <c r="H107">
        <v>0</v>
      </c>
      <c r="I107" t="s">
        <v>12</v>
      </c>
    </row>
    <row r="108" spans="1:9">
      <c r="A108" t="s">
        <v>25</v>
      </c>
      <c r="B108" t="s">
        <v>18</v>
      </c>
      <c r="C108">
        <v>2024</v>
      </c>
      <c r="D108" t="s">
        <v>58</v>
      </c>
      <c r="E108">
        <v>11</v>
      </c>
      <c r="F108">
        <v>4</v>
      </c>
      <c r="G108">
        <v>7</v>
      </c>
      <c r="H108">
        <v>12</v>
      </c>
      <c r="I108" t="s">
        <v>12</v>
      </c>
    </row>
    <row r="109" spans="1:9">
      <c r="A109" t="s">
        <v>26</v>
      </c>
      <c r="B109" t="s">
        <v>27</v>
      </c>
      <c r="C109">
        <v>2024</v>
      </c>
      <c r="D109" t="s">
        <v>58</v>
      </c>
      <c r="E109">
        <v>7</v>
      </c>
      <c r="F109">
        <v>6</v>
      </c>
      <c r="G109">
        <v>1</v>
      </c>
      <c r="H109">
        <v>8</v>
      </c>
      <c r="I109" t="s">
        <v>12</v>
      </c>
    </row>
    <row r="110" spans="1:9">
      <c r="A110" t="s">
        <v>48</v>
      </c>
      <c r="B110" t="s">
        <v>30</v>
      </c>
      <c r="C110">
        <v>2024</v>
      </c>
      <c r="D110" t="s">
        <v>58</v>
      </c>
      <c r="E110">
        <v>9</v>
      </c>
      <c r="F110">
        <v>9</v>
      </c>
      <c r="G110">
        <v>0</v>
      </c>
      <c r="H110">
        <v>2</v>
      </c>
      <c r="I110" t="s">
        <v>12</v>
      </c>
    </row>
    <row r="111" spans="1:9">
      <c r="A111" t="s">
        <v>28</v>
      </c>
      <c r="B111" t="s">
        <v>14</v>
      </c>
      <c r="C111">
        <v>2024</v>
      </c>
      <c r="D111" t="s">
        <v>58</v>
      </c>
      <c r="E111">
        <v>15</v>
      </c>
      <c r="F111">
        <v>11</v>
      </c>
      <c r="G111">
        <v>4</v>
      </c>
      <c r="H111">
        <v>0</v>
      </c>
      <c r="I111" t="s">
        <v>12</v>
      </c>
    </row>
    <row r="112" spans="1:9">
      <c r="A112" t="s">
        <v>29</v>
      </c>
      <c r="B112" t="s">
        <v>30</v>
      </c>
      <c r="C112">
        <v>2024</v>
      </c>
      <c r="D112" t="s">
        <v>58</v>
      </c>
      <c r="E112">
        <v>12</v>
      </c>
      <c r="F112">
        <v>13</v>
      </c>
      <c r="G112">
        <v>-1</v>
      </c>
      <c r="H112">
        <v>0</v>
      </c>
      <c r="I112" t="s">
        <v>12</v>
      </c>
    </row>
    <row r="113" spans="1:9">
      <c r="A113" t="s">
        <v>31</v>
      </c>
      <c r="B113" t="s">
        <v>27</v>
      </c>
      <c r="C113">
        <v>2024</v>
      </c>
      <c r="D113" t="s">
        <v>58</v>
      </c>
      <c r="E113">
        <v>1</v>
      </c>
      <c r="F113">
        <v>3</v>
      </c>
      <c r="G113">
        <v>-2</v>
      </c>
      <c r="H113">
        <v>15</v>
      </c>
      <c r="I113" t="s">
        <v>12</v>
      </c>
    </row>
    <row r="114" spans="1:9">
      <c r="A114" t="s">
        <v>32</v>
      </c>
      <c r="B114" t="s">
        <v>33</v>
      </c>
      <c r="C114">
        <v>2024</v>
      </c>
      <c r="D114" t="s">
        <v>58</v>
      </c>
      <c r="E114">
        <v>4</v>
      </c>
      <c r="F114">
        <v>5</v>
      </c>
      <c r="G114">
        <v>-1</v>
      </c>
      <c r="H114">
        <v>10</v>
      </c>
      <c r="I114" t="s">
        <v>12</v>
      </c>
    </row>
    <row r="115" spans="1:9">
      <c r="A115" t="s">
        <v>34</v>
      </c>
      <c r="B115" t="s">
        <v>10</v>
      </c>
      <c r="C115">
        <v>2024</v>
      </c>
      <c r="D115" t="s">
        <v>58</v>
      </c>
      <c r="E115">
        <v>6</v>
      </c>
      <c r="F115">
        <v>20</v>
      </c>
      <c r="G115">
        <v>-14</v>
      </c>
      <c r="H115">
        <v>0</v>
      </c>
      <c r="I115" t="s">
        <v>59</v>
      </c>
    </row>
    <row r="116" spans="1:9">
      <c r="A116" t="s">
        <v>35</v>
      </c>
      <c r="B116" t="s">
        <v>36</v>
      </c>
      <c r="C116">
        <v>2024</v>
      </c>
      <c r="D116" t="s">
        <v>58</v>
      </c>
      <c r="E116">
        <v>10</v>
      </c>
      <c r="F116">
        <v>12</v>
      </c>
      <c r="G116">
        <v>-2</v>
      </c>
      <c r="H116">
        <v>0</v>
      </c>
      <c r="I116" t="s">
        <v>12</v>
      </c>
    </row>
    <row r="117" spans="1:9">
      <c r="A117" t="s">
        <v>37</v>
      </c>
      <c r="B117" t="s">
        <v>38</v>
      </c>
      <c r="C117">
        <v>2024</v>
      </c>
      <c r="D117" t="s">
        <v>58</v>
      </c>
      <c r="E117">
        <v>20</v>
      </c>
      <c r="F117">
        <v>16</v>
      </c>
      <c r="G117">
        <v>4</v>
      </c>
      <c r="H117">
        <v>0</v>
      </c>
      <c r="I117" t="s">
        <v>12</v>
      </c>
    </row>
    <row r="118" spans="1:9">
      <c r="A118" t="s">
        <v>39</v>
      </c>
      <c r="B118" t="s">
        <v>21</v>
      </c>
      <c r="C118">
        <v>2024</v>
      </c>
      <c r="D118" t="s">
        <v>58</v>
      </c>
      <c r="E118">
        <v>19</v>
      </c>
      <c r="F118">
        <v>19</v>
      </c>
      <c r="G118">
        <v>0</v>
      </c>
      <c r="H118">
        <v>0</v>
      </c>
      <c r="I118" t="s">
        <v>55</v>
      </c>
    </row>
    <row r="119" spans="1:9">
      <c r="A119" t="s">
        <v>40</v>
      </c>
      <c r="B119" t="s">
        <v>33</v>
      </c>
      <c r="C119">
        <v>2024</v>
      </c>
      <c r="D119" t="s">
        <v>58</v>
      </c>
      <c r="E119">
        <v>5</v>
      </c>
      <c r="F119">
        <v>2</v>
      </c>
      <c r="G119">
        <v>3</v>
      </c>
      <c r="H119">
        <v>18</v>
      </c>
      <c r="I119" t="s">
        <v>12</v>
      </c>
    </row>
    <row r="120" spans="1:9">
      <c r="A120" t="s">
        <v>52</v>
      </c>
      <c r="B120" t="s">
        <v>36</v>
      </c>
      <c r="C120">
        <v>2024</v>
      </c>
      <c r="D120" t="s">
        <v>58</v>
      </c>
      <c r="E120">
        <v>18</v>
      </c>
      <c r="F120">
        <v>17</v>
      </c>
      <c r="G120">
        <v>1</v>
      </c>
      <c r="H120">
        <v>0</v>
      </c>
      <c r="I120" t="s">
        <v>12</v>
      </c>
    </row>
    <row r="121" spans="1:9">
      <c r="A121" t="s">
        <v>9</v>
      </c>
      <c r="B121" t="s">
        <v>10</v>
      </c>
      <c r="C121">
        <v>2024</v>
      </c>
      <c r="D121" t="s">
        <v>60</v>
      </c>
      <c r="E121">
        <v>2</v>
      </c>
      <c r="F121">
        <v>1</v>
      </c>
      <c r="G121">
        <v>1</v>
      </c>
      <c r="H121">
        <v>25</v>
      </c>
      <c r="I121" t="s">
        <v>12</v>
      </c>
    </row>
    <row r="122" spans="1:9">
      <c r="A122" t="s">
        <v>13</v>
      </c>
      <c r="B122" t="s">
        <v>14</v>
      </c>
      <c r="C122">
        <v>2024</v>
      </c>
      <c r="D122" t="s">
        <v>60</v>
      </c>
      <c r="E122">
        <v>10</v>
      </c>
      <c r="F122">
        <v>8</v>
      </c>
      <c r="G122">
        <v>2</v>
      </c>
      <c r="H122">
        <v>4</v>
      </c>
      <c r="I122" t="s">
        <v>12</v>
      </c>
    </row>
    <row r="123" spans="1:9">
      <c r="A123" t="s">
        <v>15</v>
      </c>
      <c r="B123" t="s">
        <v>16</v>
      </c>
      <c r="C123">
        <v>2024</v>
      </c>
      <c r="D123" t="s">
        <v>60</v>
      </c>
      <c r="E123">
        <v>6</v>
      </c>
      <c r="F123">
        <v>6</v>
      </c>
      <c r="G123">
        <v>0</v>
      </c>
      <c r="H123">
        <v>8</v>
      </c>
      <c r="I123" t="s">
        <v>12</v>
      </c>
    </row>
    <row r="124" spans="1:9">
      <c r="A124" t="s">
        <v>17</v>
      </c>
      <c r="B124" t="s">
        <v>18</v>
      </c>
      <c r="C124">
        <v>2024</v>
      </c>
      <c r="D124" t="s">
        <v>60</v>
      </c>
      <c r="E124">
        <v>0</v>
      </c>
      <c r="F124">
        <v>17</v>
      </c>
      <c r="G124">
        <v>-17</v>
      </c>
      <c r="H124">
        <v>0</v>
      </c>
      <c r="I124" t="s">
        <v>53</v>
      </c>
    </row>
    <row r="125" spans="1:9">
      <c r="A125" t="s">
        <v>46</v>
      </c>
      <c r="B125" t="s">
        <v>38</v>
      </c>
      <c r="C125">
        <v>2024</v>
      </c>
      <c r="D125" t="s">
        <v>60</v>
      </c>
      <c r="E125">
        <v>15</v>
      </c>
      <c r="F125">
        <v>13</v>
      </c>
      <c r="G125">
        <v>2</v>
      </c>
      <c r="H125">
        <v>0</v>
      </c>
      <c r="I125" t="s">
        <v>24</v>
      </c>
    </row>
    <row r="126" spans="1:9">
      <c r="A126" t="s">
        <v>20</v>
      </c>
      <c r="B126" t="s">
        <v>21</v>
      </c>
      <c r="C126">
        <v>2024</v>
      </c>
      <c r="D126" t="s">
        <v>60</v>
      </c>
      <c r="E126">
        <v>16</v>
      </c>
      <c r="F126">
        <v>15</v>
      </c>
      <c r="G126">
        <v>1</v>
      </c>
      <c r="H126">
        <v>0</v>
      </c>
      <c r="I126" t="s">
        <v>24</v>
      </c>
    </row>
    <row r="127" spans="1:9">
      <c r="A127" t="s">
        <v>23</v>
      </c>
      <c r="B127" t="s">
        <v>16</v>
      </c>
      <c r="C127">
        <v>2024</v>
      </c>
      <c r="D127" t="s">
        <v>60</v>
      </c>
      <c r="E127">
        <v>17</v>
      </c>
      <c r="F127">
        <v>12</v>
      </c>
      <c r="G127">
        <v>5</v>
      </c>
      <c r="H127">
        <v>0</v>
      </c>
      <c r="I127" t="s">
        <v>12</v>
      </c>
    </row>
    <row r="128" spans="1:9">
      <c r="A128" t="s">
        <v>25</v>
      </c>
      <c r="B128" t="s">
        <v>18</v>
      </c>
      <c r="C128">
        <v>2024</v>
      </c>
      <c r="D128" t="s">
        <v>60</v>
      </c>
      <c r="E128">
        <v>4</v>
      </c>
      <c r="F128">
        <v>2</v>
      </c>
      <c r="G128">
        <v>2</v>
      </c>
      <c r="H128">
        <v>18</v>
      </c>
      <c r="I128" t="s">
        <v>12</v>
      </c>
    </row>
    <row r="129" spans="1:9">
      <c r="A129" t="s">
        <v>26</v>
      </c>
      <c r="B129" t="s">
        <v>27</v>
      </c>
      <c r="C129">
        <v>2024</v>
      </c>
      <c r="D129" t="s">
        <v>60</v>
      </c>
      <c r="E129">
        <v>7</v>
      </c>
      <c r="F129">
        <v>5</v>
      </c>
      <c r="G129">
        <v>2</v>
      </c>
      <c r="H129">
        <v>11</v>
      </c>
      <c r="I129" t="s">
        <v>12</v>
      </c>
    </row>
    <row r="130" spans="1:9">
      <c r="A130" t="s">
        <v>48</v>
      </c>
      <c r="B130" t="s">
        <v>30</v>
      </c>
      <c r="C130">
        <v>2024</v>
      </c>
      <c r="D130" t="s">
        <v>60</v>
      </c>
      <c r="E130">
        <v>18</v>
      </c>
      <c r="F130">
        <v>16</v>
      </c>
      <c r="G130">
        <v>2</v>
      </c>
      <c r="H130">
        <v>0</v>
      </c>
      <c r="I130" t="s">
        <v>53</v>
      </c>
    </row>
    <row r="131" spans="1:9">
      <c r="A131" t="s">
        <v>28</v>
      </c>
      <c r="B131" t="s">
        <v>14</v>
      </c>
      <c r="C131">
        <v>2024</v>
      </c>
      <c r="D131" t="s">
        <v>60</v>
      </c>
      <c r="E131">
        <v>8</v>
      </c>
      <c r="F131">
        <v>7</v>
      </c>
      <c r="G131">
        <v>1</v>
      </c>
      <c r="H131">
        <v>6</v>
      </c>
      <c r="I131" t="s">
        <v>12</v>
      </c>
    </row>
    <row r="132" spans="1:9">
      <c r="A132" t="s">
        <v>29</v>
      </c>
      <c r="B132" t="s">
        <v>30</v>
      </c>
      <c r="C132">
        <v>2024</v>
      </c>
      <c r="D132" t="s">
        <v>60</v>
      </c>
      <c r="E132">
        <v>19</v>
      </c>
      <c r="F132">
        <v>20</v>
      </c>
      <c r="G132">
        <v>-1</v>
      </c>
      <c r="H132">
        <v>0</v>
      </c>
      <c r="I132" t="s">
        <v>61</v>
      </c>
    </row>
    <row r="133" spans="1:9">
      <c r="A133" t="s">
        <v>31</v>
      </c>
      <c r="B133" t="s">
        <v>27</v>
      </c>
      <c r="C133">
        <v>2024</v>
      </c>
      <c r="D133" t="s">
        <v>60</v>
      </c>
      <c r="E133">
        <v>11</v>
      </c>
      <c r="F133">
        <v>14</v>
      </c>
      <c r="G133">
        <v>-3</v>
      </c>
      <c r="H133">
        <v>0</v>
      </c>
      <c r="I133" t="s">
        <v>24</v>
      </c>
    </row>
    <row r="134" spans="1:9">
      <c r="A134" t="s">
        <v>32</v>
      </c>
      <c r="B134" t="s">
        <v>33</v>
      </c>
      <c r="C134">
        <v>2024</v>
      </c>
      <c r="D134" t="s">
        <v>60</v>
      </c>
      <c r="E134">
        <v>3</v>
      </c>
      <c r="F134">
        <v>3</v>
      </c>
      <c r="G134">
        <v>0</v>
      </c>
      <c r="H134">
        <v>15</v>
      </c>
      <c r="I134" t="s">
        <v>12</v>
      </c>
    </row>
    <row r="135" spans="1:9">
      <c r="A135" t="s">
        <v>34</v>
      </c>
      <c r="B135" t="s">
        <v>10</v>
      </c>
      <c r="C135">
        <v>2024</v>
      </c>
      <c r="D135" t="s">
        <v>60</v>
      </c>
      <c r="E135">
        <v>1</v>
      </c>
      <c r="F135">
        <v>19</v>
      </c>
      <c r="G135">
        <v>-18</v>
      </c>
      <c r="H135">
        <v>0</v>
      </c>
      <c r="I135" t="s">
        <v>62</v>
      </c>
    </row>
    <row r="136" spans="1:9">
      <c r="A136" t="s">
        <v>35</v>
      </c>
      <c r="B136" t="s">
        <v>36</v>
      </c>
      <c r="C136">
        <v>2024</v>
      </c>
      <c r="D136" t="s">
        <v>60</v>
      </c>
      <c r="E136">
        <v>9</v>
      </c>
      <c r="F136">
        <v>9</v>
      </c>
      <c r="G136">
        <v>0</v>
      </c>
      <c r="H136">
        <v>2</v>
      </c>
      <c r="I136" t="s">
        <v>12</v>
      </c>
    </row>
    <row r="137" spans="1:9">
      <c r="A137" t="s">
        <v>37</v>
      </c>
      <c r="B137" t="s">
        <v>38</v>
      </c>
      <c r="C137">
        <v>2024</v>
      </c>
      <c r="D137" t="s">
        <v>60</v>
      </c>
      <c r="E137">
        <v>13</v>
      </c>
      <c r="F137">
        <v>10</v>
      </c>
      <c r="G137">
        <v>3</v>
      </c>
      <c r="H137">
        <v>1</v>
      </c>
      <c r="I137" t="s">
        <v>12</v>
      </c>
    </row>
    <row r="138" spans="1:9">
      <c r="A138" t="s">
        <v>39</v>
      </c>
      <c r="B138" t="s">
        <v>21</v>
      </c>
      <c r="C138">
        <v>2024</v>
      </c>
      <c r="D138" t="s">
        <v>60</v>
      </c>
      <c r="E138">
        <v>14</v>
      </c>
      <c r="F138">
        <v>18</v>
      </c>
      <c r="G138">
        <v>-4</v>
      </c>
      <c r="H138">
        <v>0</v>
      </c>
      <c r="I138" t="s">
        <v>53</v>
      </c>
    </row>
    <row r="139" spans="1:9">
      <c r="A139" t="s">
        <v>40</v>
      </c>
      <c r="B139" t="s">
        <v>33</v>
      </c>
      <c r="C139">
        <v>2024</v>
      </c>
      <c r="D139" t="s">
        <v>60</v>
      </c>
      <c r="E139">
        <v>5</v>
      </c>
      <c r="F139">
        <v>4</v>
      </c>
      <c r="G139">
        <v>1</v>
      </c>
      <c r="H139">
        <v>12</v>
      </c>
      <c r="I139" t="s">
        <v>12</v>
      </c>
    </row>
    <row r="140" spans="1:9">
      <c r="A140" t="s">
        <v>52</v>
      </c>
      <c r="B140" t="s">
        <v>36</v>
      </c>
      <c r="C140">
        <v>2024</v>
      </c>
      <c r="D140" t="s">
        <v>60</v>
      </c>
      <c r="E140">
        <v>12</v>
      </c>
      <c r="F140">
        <v>11</v>
      </c>
      <c r="G140">
        <v>1</v>
      </c>
      <c r="H140">
        <v>0</v>
      </c>
      <c r="I140" t="s">
        <v>12</v>
      </c>
    </row>
    <row r="141" spans="1:9">
      <c r="A141" t="s">
        <v>9</v>
      </c>
      <c r="B141" t="s">
        <v>10</v>
      </c>
      <c r="C141">
        <v>2024</v>
      </c>
      <c r="D141" t="s">
        <v>63</v>
      </c>
      <c r="E141">
        <v>7</v>
      </c>
      <c r="F141">
        <v>4</v>
      </c>
      <c r="G141">
        <v>3</v>
      </c>
      <c r="H141">
        <v>13</v>
      </c>
      <c r="I141" t="s">
        <v>12</v>
      </c>
    </row>
    <row r="142" spans="1:9">
      <c r="A142" t="s">
        <v>13</v>
      </c>
      <c r="B142" t="s">
        <v>14</v>
      </c>
      <c r="C142">
        <v>2024</v>
      </c>
      <c r="D142" t="s">
        <v>63</v>
      </c>
      <c r="E142">
        <v>6</v>
      </c>
      <c r="F142">
        <v>6</v>
      </c>
      <c r="G142">
        <v>0</v>
      </c>
      <c r="H142">
        <v>8</v>
      </c>
      <c r="I142" t="s">
        <v>12</v>
      </c>
    </row>
    <row r="143" spans="1:9">
      <c r="A143" t="s">
        <v>15</v>
      </c>
      <c r="B143" t="s">
        <v>16</v>
      </c>
      <c r="C143">
        <v>2024</v>
      </c>
      <c r="D143" t="s">
        <v>63</v>
      </c>
      <c r="E143">
        <v>17</v>
      </c>
      <c r="F143">
        <v>11</v>
      </c>
      <c r="G143">
        <v>6</v>
      </c>
      <c r="H143">
        <v>0</v>
      </c>
      <c r="I143" t="s">
        <v>12</v>
      </c>
    </row>
    <row r="144" spans="1:9">
      <c r="A144" t="s">
        <v>17</v>
      </c>
      <c r="B144" t="s">
        <v>18</v>
      </c>
      <c r="C144">
        <v>2024</v>
      </c>
      <c r="D144" t="s">
        <v>63</v>
      </c>
      <c r="E144">
        <v>16</v>
      </c>
      <c r="F144">
        <v>18</v>
      </c>
      <c r="G144">
        <v>-2</v>
      </c>
      <c r="H144">
        <v>0</v>
      </c>
      <c r="I144" t="s">
        <v>49</v>
      </c>
    </row>
    <row r="145" spans="1:9">
      <c r="A145" t="s">
        <v>46</v>
      </c>
      <c r="B145" t="s">
        <v>38</v>
      </c>
      <c r="C145">
        <v>2024</v>
      </c>
      <c r="D145" t="s">
        <v>63</v>
      </c>
      <c r="E145">
        <v>5</v>
      </c>
      <c r="F145">
        <v>8</v>
      </c>
      <c r="G145">
        <v>-3</v>
      </c>
      <c r="H145">
        <v>4</v>
      </c>
      <c r="I145" t="s">
        <v>12</v>
      </c>
    </row>
    <row r="146" spans="1:9">
      <c r="A146" t="s">
        <v>20</v>
      </c>
      <c r="B146" t="s">
        <v>21</v>
      </c>
      <c r="C146">
        <v>2024</v>
      </c>
      <c r="D146" t="s">
        <v>63</v>
      </c>
      <c r="E146">
        <v>0</v>
      </c>
      <c r="F146">
        <v>13</v>
      </c>
      <c r="G146">
        <v>-13</v>
      </c>
      <c r="H146">
        <v>0</v>
      </c>
      <c r="I146" t="s">
        <v>12</v>
      </c>
    </row>
    <row r="147" spans="1:9">
      <c r="A147" t="s">
        <v>23</v>
      </c>
      <c r="B147" t="s">
        <v>16</v>
      </c>
      <c r="C147">
        <v>2024</v>
      </c>
      <c r="D147" t="s">
        <v>63</v>
      </c>
      <c r="E147">
        <v>14</v>
      </c>
      <c r="F147">
        <v>12</v>
      </c>
      <c r="G147">
        <v>2</v>
      </c>
      <c r="H147">
        <v>0</v>
      </c>
      <c r="I147" t="s">
        <v>12</v>
      </c>
    </row>
    <row r="148" spans="1:9">
      <c r="A148" t="s">
        <v>25</v>
      </c>
      <c r="B148" t="s">
        <v>18</v>
      </c>
      <c r="C148">
        <v>2024</v>
      </c>
      <c r="D148" t="s">
        <v>63</v>
      </c>
      <c r="E148">
        <v>2</v>
      </c>
      <c r="F148">
        <v>1</v>
      </c>
      <c r="G148">
        <v>1</v>
      </c>
      <c r="H148">
        <v>25</v>
      </c>
      <c r="I148" t="s">
        <v>12</v>
      </c>
    </row>
    <row r="149" spans="1:9">
      <c r="A149" t="s">
        <v>26</v>
      </c>
      <c r="B149" t="s">
        <v>27</v>
      </c>
      <c r="C149">
        <v>2024</v>
      </c>
      <c r="D149" t="s">
        <v>63</v>
      </c>
      <c r="E149">
        <v>12</v>
      </c>
      <c r="F149">
        <v>16</v>
      </c>
      <c r="G149">
        <v>-4</v>
      </c>
      <c r="H149">
        <v>0</v>
      </c>
      <c r="I149" t="s">
        <v>19</v>
      </c>
    </row>
    <row r="150" spans="1:9">
      <c r="A150" t="s">
        <v>48</v>
      </c>
      <c r="B150" t="s">
        <v>30</v>
      </c>
      <c r="C150">
        <v>2024</v>
      </c>
      <c r="D150" t="s">
        <v>63</v>
      </c>
      <c r="E150">
        <v>18</v>
      </c>
      <c r="F150">
        <v>10</v>
      </c>
      <c r="G150">
        <v>8</v>
      </c>
      <c r="H150">
        <v>1</v>
      </c>
      <c r="I150" t="s">
        <v>12</v>
      </c>
    </row>
    <row r="151" spans="1:9">
      <c r="A151" t="s">
        <v>28</v>
      </c>
      <c r="B151" t="s">
        <v>14</v>
      </c>
      <c r="C151">
        <v>2024</v>
      </c>
      <c r="D151" t="s">
        <v>63</v>
      </c>
      <c r="E151">
        <v>9</v>
      </c>
      <c r="F151">
        <v>7</v>
      </c>
      <c r="G151">
        <v>2</v>
      </c>
      <c r="H151">
        <v>6</v>
      </c>
      <c r="I151" t="s">
        <v>12</v>
      </c>
    </row>
    <row r="152" spans="1:9">
      <c r="A152" t="s">
        <v>29</v>
      </c>
      <c r="B152" t="s">
        <v>30</v>
      </c>
      <c r="C152">
        <v>2024</v>
      </c>
      <c r="D152" t="s">
        <v>63</v>
      </c>
      <c r="E152">
        <v>15</v>
      </c>
      <c r="F152">
        <v>9</v>
      </c>
      <c r="G152">
        <v>6</v>
      </c>
      <c r="H152">
        <v>2</v>
      </c>
      <c r="I152" t="s">
        <v>12</v>
      </c>
    </row>
    <row r="153" spans="1:9">
      <c r="A153" t="s">
        <v>31</v>
      </c>
      <c r="B153" t="s">
        <v>27</v>
      </c>
      <c r="C153">
        <v>2024</v>
      </c>
      <c r="D153" t="s">
        <v>63</v>
      </c>
      <c r="E153">
        <v>11</v>
      </c>
      <c r="F153">
        <v>19</v>
      </c>
      <c r="G153">
        <v>-8</v>
      </c>
      <c r="H153">
        <v>0</v>
      </c>
      <c r="I153" t="s">
        <v>42</v>
      </c>
    </row>
    <row r="154" spans="1:9">
      <c r="A154" t="s">
        <v>32</v>
      </c>
      <c r="B154" t="s">
        <v>33</v>
      </c>
      <c r="C154">
        <v>2024</v>
      </c>
      <c r="D154" t="s">
        <v>63</v>
      </c>
      <c r="E154">
        <v>3</v>
      </c>
      <c r="F154">
        <v>2</v>
      </c>
      <c r="G154">
        <v>1</v>
      </c>
      <c r="H154">
        <v>18</v>
      </c>
      <c r="I154" t="s">
        <v>12</v>
      </c>
    </row>
    <row r="155" spans="1:9">
      <c r="A155" t="s">
        <v>34</v>
      </c>
      <c r="B155" t="s">
        <v>10</v>
      </c>
      <c r="C155">
        <v>2024</v>
      </c>
      <c r="D155" t="s">
        <v>63</v>
      </c>
      <c r="E155">
        <v>1</v>
      </c>
      <c r="F155">
        <v>3</v>
      </c>
      <c r="G155">
        <v>-2</v>
      </c>
      <c r="H155">
        <v>15</v>
      </c>
      <c r="I155" t="s">
        <v>12</v>
      </c>
    </row>
    <row r="156" spans="1:9">
      <c r="A156" t="s">
        <v>35</v>
      </c>
      <c r="B156" t="s">
        <v>36</v>
      </c>
      <c r="C156">
        <v>2024</v>
      </c>
      <c r="D156" t="s">
        <v>63</v>
      </c>
      <c r="E156">
        <v>10</v>
      </c>
      <c r="F156">
        <v>17</v>
      </c>
      <c r="G156">
        <v>-7</v>
      </c>
      <c r="H156">
        <v>0</v>
      </c>
      <c r="I156" t="s">
        <v>19</v>
      </c>
    </row>
    <row r="157" spans="1:9">
      <c r="A157" t="s">
        <v>37</v>
      </c>
      <c r="B157" t="s">
        <v>38</v>
      </c>
      <c r="C157">
        <v>2024</v>
      </c>
      <c r="D157" t="s">
        <v>63</v>
      </c>
      <c r="E157">
        <v>8</v>
      </c>
      <c r="F157">
        <v>14</v>
      </c>
      <c r="G157">
        <v>-6</v>
      </c>
      <c r="H157">
        <v>0</v>
      </c>
      <c r="I157" t="s">
        <v>12</v>
      </c>
    </row>
    <row r="158" spans="1:9">
      <c r="A158" t="s">
        <v>39</v>
      </c>
      <c r="B158" t="s">
        <v>21</v>
      </c>
      <c r="C158">
        <v>2024</v>
      </c>
      <c r="D158" t="s">
        <v>63</v>
      </c>
      <c r="E158">
        <v>0</v>
      </c>
      <c r="F158">
        <v>15</v>
      </c>
      <c r="G158">
        <v>-15</v>
      </c>
      <c r="H158">
        <v>0</v>
      </c>
      <c r="I158" t="s">
        <v>24</v>
      </c>
    </row>
    <row r="159" spans="1:9">
      <c r="A159" t="s">
        <v>40</v>
      </c>
      <c r="B159" t="s">
        <v>33</v>
      </c>
      <c r="C159">
        <v>2024</v>
      </c>
      <c r="D159" t="s">
        <v>63</v>
      </c>
      <c r="E159">
        <v>4</v>
      </c>
      <c r="F159">
        <v>5</v>
      </c>
      <c r="G159">
        <v>-1</v>
      </c>
      <c r="H159">
        <v>10</v>
      </c>
      <c r="I159" t="s">
        <v>12</v>
      </c>
    </row>
    <row r="160" spans="1:9">
      <c r="A160" t="s">
        <v>52</v>
      </c>
      <c r="B160" t="s">
        <v>36</v>
      </c>
      <c r="C160">
        <v>2024</v>
      </c>
      <c r="D160" t="s">
        <v>63</v>
      </c>
      <c r="E160">
        <v>13</v>
      </c>
      <c r="F160">
        <v>20</v>
      </c>
      <c r="G160">
        <v>-7</v>
      </c>
      <c r="H160">
        <v>0</v>
      </c>
      <c r="I160" t="s">
        <v>49</v>
      </c>
    </row>
    <row r="161" spans="1:9">
      <c r="A161" t="s">
        <v>9</v>
      </c>
      <c r="B161" t="s">
        <v>10</v>
      </c>
      <c r="C161">
        <v>2024</v>
      </c>
      <c r="D161" t="s">
        <v>64</v>
      </c>
      <c r="E161">
        <v>18</v>
      </c>
      <c r="F161">
        <v>9</v>
      </c>
      <c r="G161">
        <v>9</v>
      </c>
      <c r="H161">
        <v>2</v>
      </c>
      <c r="I161" t="s">
        <v>12</v>
      </c>
    </row>
    <row r="162" spans="1:9">
      <c r="A162" t="s">
        <v>13</v>
      </c>
      <c r="B162" t="s">
        <v>14</v>
      </c>
      <c r="C162">
        <v>2024</v>
      </c>
      <c r="D162" t="s">
        <v>64</v>
      </c>
      <c r="E162">
        <v>3</v>
      </c>
      <c r="F162">
        <v>7</v>
      </c>
      <c r="G162">
        <v>-4</v>
      </c>
      <c r="H162">
        <v>7</v>
      </c>
      <c r="I162" t="s">
        <v>12</v>
      </c>
    </row>
    <row r="163" spans="1:9">
      <c r="A163" t="s">
        <v>15</v>
      </c>
      <c r="B163" t="s">
        <v>16</v>
      </c>
      <c r="C163">
        <v>2024</v>
      </c>
      <c r="D163" t="s">
        <v>64</v>
      </c>
      <c r="E163">
        <v>9</v>
      </c>
      <c r="F163">
        <v>10</v>
      </c>
      <c r="G163">
        <v>-1</v>
      </c>
      <c r="H163">
        <v>1</v>
      </c>
      <c r="I163" t="s">
        <v>12</v>
      </c>
    </row>
    <row r="164" spans="1:9">
      <c r="A164" t="s">
        <v>17</v>
      </c>
      <c r="B164" t="s">
        <v>18</v>
      </c>
      <c r="C164">
        <v>2024</v>
      </c>
      <c r="D164" t="s">
        <v>64</v>
      </c>
      <c r="E164">
        <v>2</v>
      </c>
      <c r="F164">
        <v>3</v>
      </c>
      <c r="G164">
        <v>-1</v>
      </c>
      <c r="H164">
        <v>15</v>
      </c>
      <c r="I164" t="s">
        <v>12</v>
      </c>
    </row>
    <row r="165" spans="1:9">
      <c r="A165" t="s">
        <v>46</v>
      </c>
      <c r="B165" t="s">
        <v>38</v>
      </c>
      <c r="C165">
        <v>2024</v>
      </c>
      <c r="D165" t="s">
        <v>64</v>
      </c>
      <c r="E165">
        <v>12</v>
      </c>
      <c r="F165">
        <v>18</v>
      </c>
      <c r="G165">
        <v>-6</v>
      </c>
      <c r="H165">
        <v>0</v>
      </c>
      <c r="I165" t="s">
        <v>55</v>
      </c>
    </row>
    <row r="166" spans="1:9">
      <c r="A166" t="s">
        <v>20</v>
      </c>
      <c r="B166" t="s">
        <v>21</v>
      </c>
      <c r="C166">
        <v>2024</v>
      </c>
      <c r="D166" t="s">
        <v>64</v>
      </c>
      <c r="E166">
        <v>10</v>
      </c>
      <c r="F166">
        <v>20</v>
      </c>
      <c r="G166">
        <v>-10</v>
      </c>
      <c r="H166">
        <v>0</v>
      </c>
      <c r="I166" t="s">
        <v>55</v>
      </c>
    </row>
    <row r="167" spans="1:9">
      <c r="A167" t="s">
        <v>23</v>
      </c>
      <c r="B167" t="s">
        <v>16</v>
      </c>
      <c r="C167">
        <v>2024</v>
      </c>
      <c r="D167" t="s">
        <v>64</v>
      </c>
      <c r="E167">
        <v>17</v>
      </c>
      <c r="F167">
        <v>16</v>
      </c>
      <c r="G167">
        <v>1</v>
      </c>
      <c r="H167">
        <v>0</v>
      </c>
      <c r="I167" t="s">
        <v>12</v>
      </c>
    </row>
    <row r="168" spans="1:9">
      <c r="A168" t="s">
        <v>25</v>
      </c>
      <c r="B168" t="s">
        <v>18</v>
      </c>
      <c r="C168">
        <v>2024</v>
      </c>
      <c r="D168" t="s">
        <v>64</v>
      </c>
      <c r="E168">
        <v>1</v>
      </c>
      <c r="F168">
        <v>1</v>
      </c>
      <c r="G168">
        <v>0</v>
      </c>
      <c r="H168">
        <v>25</v>
      </c>
      <c r="I168" t="s">
        <v>12</v>
      </c>
    </row>
    <row r="169" spans="1:9">
      <c r="A169" t="s">
        <v>26</v>
      </c>
      <c r="B169" t="s">
        <v>27</v>
      </c>
      <c r="C169">
        <v>2024</v>
      </c>
      <c r="D169" t="s">
        <v>64</v>
      </c>
      <c r="E169">
        <v>7</v>
      </c>
      <c r="F169">
        <v>5</v>
      </c>
      <c r="G169">
        <v>2</v>
      </c>
      <c r="H169">
        <v>10</v>
      </c>
      <c r="I169" t="s">
        <v>12</v>
      </c>
    </row>
    <row r="170" spans="1:9">
      <c r="A170" t="s">
        <v>48</v>
      </c>
      <c r="B170" t="s">
        <v>30</v>
      </c>
      <c r="C170">
        <v>2024</v>
      </c>
      <c r="D170" t="s">
        <v>64</v>
      </c>
      <c r="E170">
        <v>13</v>
      </c>
      <c r="F170">
        <v>11</v>
      </c>
      <c r="G170">
        <v>2</v>
      </c>
      <c r="H170">
        <v>0</v>
      </c>
      <c r="I170" t="s">
        <v>12</v>
      </c>
    </row>
    <row r="171" spans="1:9">
      <c r="A171" t="s">
        <v>28</v>
      </c>
      <c r="B171" t="s">
        <v>14</v>
      </c>
      <c r="C171">
        <v>2024</v>
      </c>
      <c r="D171" t="s">
        <v>64</v>
      </c>
      <c r="E171">
        <v>11</v>
      </c>
      <c r="F171">
        <v>15</v>
      </c>
      <c r="G171">
        <v>-4</v>
      </c>
      <c r="H171">
        <v>0</v>
      </c>
      <c r="I171" t="s">
        <v>12</v>
      </c>
    </row>
    <row r="172" spans="1:9">
      <c r="A172" t="s">
        <v>29</v>
      </c>
      <c r="B172" t="s">
        <v>30</v>
      </c>
      <c r="C172">
        <v>2024</v>
      </c>
      <c r="D172" t="s">
        <v>64</v>
      </c>
      <c r="E172">
        <v>15</v>
      </c>
      <c r="F172">
        <v>13</v>
      </c>
      <c r="G172">
        <v>2</v>
      </c>
      <c r="H172">
        <v>0</v>
      </c>
      <c r="I172" t="s">
        <v>12</v>
      </c>
    </row>
    <row r="173" spans="1:9">
      <c r="A173" t="s">
        <v>31</v>
      </c>
      <c r="B173" t="s">
        <v>27</v>
      </c>
      <c r="C173">
        <v>2024</v>
      </c>
      <c r="D173" t="s">
        <v>64</v>
      </c>
      <c r="E173">
        <v>6</v>
      </c>
      <c r="F173">
        <v>4</v>
      </c>
      <c r="G173">
        <v>2</v>
      </c>
      <c r="H173">
        <v>12</v>
      </c>
      <c r="I173" t="s">
        <v>12</v>
      </c>
    </row>
    <row r="174" spans="1:9">
      <c r="A174" t="s">
        <v>32</v>
      </c>
      <c r="B174" t="s">
        <v>33</v>
      </c>
      <c r="C174">
        <v>2024</v>
      </c>
      <c r="D174" t="s">
        <v>64</v>
      </c>
      <c r="E174">
        <v>4</v>
      </c>
      <c r="F174">
        <v>2</v>
      </c>
      <c r="G174">
        <v>2</v>
      </c>
      <c r="H174">
        <v>18</v>
      </c>
      <c r="I174" t="s">
        <v>12</v>
      </c>
    </row>
    <row r="175" spans="1:9">
      <c r="A175" t="s">
        <v>34</v>
      </c>
      <c r="B175" t="s">
        <v>10</v>
      </c>
      <c r="C175">
        <v>2024</v>
      </c>
      <c r="D175" t="s">
        <v>64</v>
      </c>
      <c r="E175">
        <v>8</v>
      </c>
      <c r="F175">
        <v>6</v>
      </c>
      <c r="G175">
        <v>2</v>
      </c>
      <c r="H175">
        <v>8</v>
      </c>
      <c r="I175" t="s">
        <v>12</v>
      </c>
    </row>
    <row r="176" spans="1:9">
      <c r="A176" t="s">
        <v>35</v>
      </c>
      <c r="B176" t="s">
        <v>36</v>
      </c>
      <c r="C176">
        <v>2024</v>
      </c>
      <c r="D176" t="s">
        <v>64</v>
      </c>
      <c r="E176">
        <v>14</v>
      </c>
      <c r="F176">
        <v>12</v>
      </c>
      <c r="G176">
        <v>2</v>
      </c>
      <c r="H176">
        <v>0</v>
      </c>
      <c r="I176" t="s">
        <v>12</v>
      </c>
    </row>
    <row r="177" spans="1:9">
      <c r="A177" t="s">
        <v>37</v>
      </c>
      <c r="B177" t="s">
        <v>38</v>
      </c>
      <c r="C177">
        <v>2024</v>
      </c>
      <c r="D177" t="s">
        <v>64</v>
      </c>
      <c r="E177">
        <v>19</v>
      </c>
      <c r="F177">
        <v>19</v>
      </c>
      <c r="G177">
        <v>0</v>
      </c>
      <c r="H177">
        <v>0</v>
      </c>
      <c r="I177" t="s">
        <v>55</v>
      </c>
    </row>
    <row r="178" spans="1:9">
      <c r="A178" t="s">
        <v>39</v>
      </c>
      <c r="B178" t="s">
        <v>21</v>
      </c>
      <c r="C178">
        <v>2024</v>
      </c>
      <c r="D178" t="s">
        <v>64</v>
      </c>
      <c r="E178">
        <v>16</v>
      </c>
      <c r="F178">
        <v>14</v>
      </c>
      <c r="G178">
        <v>2</v>
      </c>
      <c r="H178">
        <v>0</v>
      </c>
      <c r="I178" t="s">
        <v>12</v>
      </c>
    </row>
    <row r="179" spans="1:9">
      <c r="A179" t="s">
        <v>40</v>
      </c>
      <c r="B179" t="s">
        <v>33</v>
      </c>
      <c r="C179">
        <v>2024</v>
      </c>
      <c r="D179" t="s">
        <v>64</v>
      </c>
      <c r="E179">
        <v>5</v>
      </c>
      <c r="F179">
        <v>8</v>
      </c>
      <c r="G179">
        <v>-3</v>
      </c>
      <c r="H179">
        <v>4</v>
      </c>
      <c r="I179" t="s">
        <v>12</v>
      </c>
    </row>
    <row r="180" spans="1:9">
      <c r="A180" t="s">
        <v>52</v>
      </c>
      <c r="B180" t="s">
        <v>36</v>
      </c>
      <c r="C180">
        <v>2024</v>
      </c>
      <c r="D180" t="s">
        <v>64</v>
      </c>
      <c r="E180">
        <v>20</v>
      </c>
      <c r="F180">
        <v>17</v>
      </c>
      <c r="G180">
        <v>3</v>
      </c>
      <c r="H180">
        <v>0</v>
      </c>
      <c r="I180" t="s">
        <v>12</v>
      </c>
    </row>
    <row r="181" spans="1:9">
      <c r="A181" t="s">
        <v>9</v>
      </c>
      <c r="B181" t="s">
        <v>10</v>
      </c>
      <c r="C181">
        <v>2024</v>
      </c>
      <c r="D181" t="s">
        <v>65</v>
      </c>
      <c r="E181">
        <v>14</v>
      </c>
      <c r="F181">
        <v>8</v>
      </c>
      <c r="G181">
        <v>6</v>
      </c>
      <c r="H181">
        <v>4</v>
      </c>
      <c r="I181" t="s">
        <v>12</v>
      </c>
    </row>
    <row r="182" spans="1:9">
      <c r="A182" t="s">
        <v>13</v>
      </c>
      <c r="B182" t="s">
        <v>14</v>
      </c>
      <c r="C182">
        <v>2024</v>
      </c>
      <c r="D182" t="s">
        <v>65</v>
      </c>
      <c r="E182">
        <v>7</v>
      </c>
      <c r="F182">
        <v>10</v>
      </c>
      <c r="G182">
        <v>-3</v>
      </c>
      <c r="H182">
        <v>1</v>
      </c>
      <c r="I182" t="s">
        <v>24</v>
      </c>
    </row>
    <row r="183" spans="1:9">
      <c r="A183" t="s">
        <v>15</v>
      </c>
      <c r="B183" t="s">
        <v>16</v>
      </c>
      <c r="C183">
        <v>2024</v>
      </c>
      <c r="D183" t="s">
        <v>65</v>
      </c>
      <c r="E183">
        <v>12</v>
      </c>
      <c r="F183">
        <v>11</v>
      </c>
      <c r="G183">
        <v>1</v>
      </c>
      <c r="H183">
        <v>0</v>
      </c>
      <c r="I183" t="s">
        <v>24</v>
      </c>
    </row>
    <row r="184" spans="1:9">
      <c r="A184" t="s">
        <v>17</v>
      </c>
      <c r="B184" t="s">
        <v>18</v>
      </c>
      <c r="C184">
        <v>2024</v>
      </c>
      <c r="D184" t="s">
        <v>65</v>
      </c>
      <c r="E184">
        <v>5</v>
      </c>
      <c r="F184">
        <v>6</v>
      </c>
      <c r="G184">
        <v>-1</v>
      </c>
      <c r="H184">
        <v>8</v>
      </c>
      <c r="I184" t="s">
        <v>12</v>
      </c>
    </row>
    <row r="185" spans="1:9">
      <c r="A185" t="s">
        <v>46</v>
      </c>
      <c r="B185" t="s">
        <v>38</v>
      </c>
      <c r="C185">
        <v>2024</v>
      </c>
      <c r="D185" t="s">
        <v>65</v>
      </c>
      <c r="E185">
        <v>13</v>
      </c>
      <c r="F185">
        <v>12</v>
      </c>
      <c r="G185">
        <v>1</v>
      </c>
      <c r="H185">
        <v>0</v>
      </c>
      <c r="I185" t="s">
        <v>24</v>
      </c>
    </row>
    <row r="186" spans="1:9">
      <c r="A186" t="s">
        <v>20</v>
      </c>
      <c r="B186" t="s">
        <v>21</v>
      </c>
      <c r="C186">
        <v>2024</v>
      </c>
      <c r="D186" t="s">
        <v>65</v>
      </c>
      <c r="E186">
        <v>16</v>
      </c>
      <c r="F186">
        <v>19</v>
      </c>
      <c r="G186">
        <v>-3</v>
      </c>
      <c r="H186">
        <v>0</v>
      </c>
      <c r="I186" t="s">
        <v>53</v>
      </c>
    </row>
    <row r="187" spans="1:9">
      <c r="A187" t="s">
        <v>23</v>
      </c>
      <c r="B187" t="s">
        <v>16</v>
      </c>
      <c r="C187">
        <v>2024</v>
      </c>
      <c r="D187" t="s">
        <v>65</v>
      </c>
      <c r="E187">
        <v>0</v>
      </c>
      <c r="F187">
        <v>18</v>
      </c>
      <c r="G187">
        <v>-18</v>
      </c>
      <c r="H187">
        <v>0</v>
      </c>
      <c r="I187" t="s">
        <v>24</v>
      </c>
    </row>
    <row r="188" spans="1:9">
      <c r="A188" t="s">
        <v>25</v>
      </c>
      <c r="B188" t="s">
        <v>18</v>
      </c>
      <c r="C188">
        <v>2024</v>
      </c>
      <c r="D188" t="s">
        <v>65</v>
      </c>
      <c r="E188">
        <v>2</v>
      </c>
      <c r="F188">
        <v>2</v>
      </c>
      <c r="G188">
        <v>0</v>
      </c>
      <c r="H188">
        <v>18</v>
      </c>
      <c r="I188" t="s">
        <v>12</v>
      </c>
    </row>
    <row r="189" spans="1:9">
      <c r="A189" t="s">
        <v>26</v>
      </c>
      <c r="B189" t="s">
        <v>27</v>
      </c>
      <c r="C189">
        <v>2024</v>
      </c>
      <c r="D189" t="s">
        <v>65</v>
      </c>
      <c r="E189">
        <v>10</v>
      </c>
      <c r="F189">
        <v>5</v>
      </c>
      <c r="G189">
        <v>5</v>
      </c>
      <c r="H189">
        <v>10</v>
      </c>
      <c r="I189" t="s">
        <v>12</v>
      </c>
    </row>
    <row r="190" spans="1:9">
      <c r="A190" t="s">
        <v>48</v>
      </c>
      <c r="B190" t="s">
        <v>30</v>
      </c>
      <c r="C190">
        <v>2024</v>
      </c>
      <c r="D190" t="s">
        <v>65</v>
      </c>
      <c r="E190">
        <v>15</v>
      </c>
      <c r="F190">
        <v>15</v>
      </c>
      <c r="G190">
        <v>0</v>
      </c>
      <c r="H190">
        <v>0</v>
      </c>
      <c r="I190" t="s">
        <v>24</v>
      </c>
    </row>
    <row r="191" spans="1:9">
      <c r="A191" t="s">
        <v>28</v>
      </c>
      <c r="B191" t="s">
        <v>14</v>
      </c>
      <c r="C191">
        <v>2024</v>
      </c>
      <c r="D191" t="s">
        <v>65</v>
      </c>
      <c r="E191">
        <v>8</v>
      </c>
      <c r="F191">
        <v>13</v>
      </c>
      <c r="G191">
        <v>-5</v>
      </c>
      <c r="H191">
        <v>0</v>
      </c>
      <c r="I191" t="s">
        <v>24</v>
      </c>
    </row>
    <row r="192" spans="1:9">
      <c r="A192" t="s">
        <v>29</v>
      </c>
      <c r="B192" t="s">
        <v>30</v>
      </c>
      <c r="C192">
        <v>2024</v>
      </c>
      <c r="D192" t="s">
        <v>65</v>
      </c>
      <c r="E192">
        <v>9</v>
      </c>
      <c r="F192">
        <v>9</v>
      </c>
      <c r="G192">
        <v>0</v>
      </c>
      <c r="H192">
        <v>2</v>
      </c>
      <c r="I192" t="s">
        <v>24</v>
      </c>
    </row>
    <row r="193" spans="1:9">
      <c r="A193" t="s">
        <v>31</v>
      </c>
      <c r="B193" t="s">
        <v>27</v>
      </c>
      <c r="C193">
        <v>2024</v>
      </c>
      <c r="D193" t="s">
        <v>65</v>
      </c>
      <c r="E193">
        <v>6</v>
      </c>
      <c r="F193">
        <v>3</v>
      </c>
      <c r="G193">
        <v>3</v>
      </c>
      <c r="H193">
        <v>15</v>
      </c>
      <c r="I193" t="s">
        <v>12</v>
      </c>
    </row>
    <row r="194" spans="1:9">
      <c r="A194" t="s">
        <v>32</v>
      </c>
      <c r="B194" t="s">
        <v>33</v>
      </c>
      <c r="C194">
        <v>2024</v>
      </c>
      <c r="D194" t="s">
        <v>65</v>
      </c>
      <c r="E194">
        <v>1</v>
      </c>
      <c r="F194">
        <v>1</v>
      </c>
      <c r="G194">
        <v>0</v>
      </c>
      <c r="H194">
        <v>26</v>
      </c>
      <c r="I194" t="s">
        <v>12</v>
      </c>
    </row>
    <row r="195" spans="1:9">
      <c r="A195" t="s">
        <v>34</v>
      </c>
      <c r="B195" t="s">
        <v>10</v>
      </c>
      <c r="C195">
        <v>2024</v>
      </c>
      <c r="D195" t="s">
        <v>65</v>
      </c>
      <c r="E195">
        <v>4</v>
      </c>
      <c r="F195">
        <v>7</v>
      </c>
      <c r="G195">
        <v>-3</v>
      </c>
      <c r="H195">
        <v>6</v>
      </c>
      <c r="I195" t="s">
        <v>12</v>
      </c>
    </row>
    <row r="196" spans="1:9">
      <c r="A196" t="s">
        <v>35</v>
      </c>
      <c r="B196" t="s">
        <v>36</v>
      </c>
      <c r="C196">
        <v>2024</v>
      </c>
      <c r="D196" t="s">
        <v>65</v>
      </c>
      <c r="E196">
        <v>19</v>
      </c>
      <c r="F196">
        <v>14</v>
      </c>
      <c r="G196">
        <v>5</v>
      </c>
      <c r="H196">
        <v>0</v>
      </c>
      <c r="I196" t="s">
        <v>24</v>
      </c>
    </row>
    <row r="197" spans="1:9">
      <c r="A197" t="s">
        <v>37</v>
      </c>
      <c r="B197" t="s">
        <v>38</v>
      </c>
      <c r="C197">
        <v>2024</v>
      </c>
      <c r="D197" t="s">
        <v>65</v>
      </c>
      <c r="E197">
        <v>11</v>
      </c>
      <c r="F197">
        <v>17</v>
      </c>
      <c r="G197">
        <v>-6</v>
      </c>
      <c r="H197">
        <v>0</v>
      </c>
      <c r="I197" t="s">
        <v>24</v>
      </c>
    </row>
    <row r="198" spans="1:9">
      <c r="A198" t="s">
        <v>39</v>
      </c>
      <c r="B198" t="s">
        <v>21</v>
      </c>
      <c r="C198">
        <v>2024</v>
      </c>
      <c r="D198" t="s">
        <v>65</v>
      </c>
      <c r="E198">
        <v>17</v>
      </c>
      <c r="F198">
        <v>20</v>
      </c>
      <c r="G198">
        <v>-3</v>
      </c>
      <c r="H198">
        <v>0</v>
      </c>
      <c r="I198" t="s">
        <v>53</v>
      </c>
    </row>
    <row r="199" spans="1:9">
      <c r="A199" t="s">
        <v>40</v>
      </c>
      <c r="B199" t="s">
        <v>33</v>
      </c>
      <c r="C199">
        <v>2024</v>
      </c>
      <c r="D199" t="s">
        <v>65</v>
      </c>
      <c r="E199">
        <v>3</v>
      </c>
      <c r="F199">
        <v>4</v>
      </c>
      <c r="G199">
        <v>-1</v>
      </c>
      <c r="H199">
        <v>12</v>
      </c>
      <c r="I199" t="s">
        <v>12</v>
      </c>
    </row>
    <row r="200" spans="1:9">
      <c r="A200" t="s">
        <v>52</v>
      </c>
      <c r="B200" t="s">
        <v>36</v>
      </c>
      <c r="C200">
        <v>2024</v>
      </c>
      <c r="D200" t="s">
        <v>65</v>
      </c>
      <c r="E200">
        <v>18</v>
      </c>
      <c r="F200">
        <v>16</v>
      </c>
      <c r="G200">
        <v>2</v>
      </c>
      <c r="H200">
        <v>0</v>
      </c>
      <c r="I200" t="s">
        <v>24</v>
      </c>
    </row>
    <row r="201" spans="1:9">
      <c r="A201" t="s">
        <v>9</v>
      </c>
      <c r="B201" t="s">
        <v>10</v>
      </c>
      <c r="C201">
        <v>2024</v>
      </c>
      <c r="D201" t="s">
        <v>66</v>
      </c>
      <c r="E201">
        <v>8</v>
      </c>
      <c r="F201">
        <v>6</v>
      </c>
      <c r="G201">
        <v>2</v>
      </c>
      <c r="H201">
        <v>8</v>
      </c>
      <c r="I201" t="s">
        <v>12</v>
      </c>
    </row>
    <row r="202" spans="1:9">
      <c r="A202" t="s">
        <v>13</v>
      </c>
      <c r="B202" t="s">
        <v>14</v>
      </c>
      <c r="C202">
        <v>2024</v>
      </c>
      <c r="D202" t="s">
        <v>66</v>
      </c>
      <c r="E202">
        <v>20</v>
      </c>
      <c r="F202">
        <v>19</v>
      </c>
      <c r="G202">
        <v>1</v>
      </c>
      <c r="H202">
        <v>0</v>
      </c>
      <c r="I202" t="s">
        <v>24</v>
      </c>
    </row>
    <row r="203" spans="1:9">
      <c r="A203" t="s">
        <v>15</v>
      </c>
      <c r="B203" t="s">
        <v>16</v>
      </c>
      <c r="C203">
        <v>2024</v>
      </c>
      <c r="D203" t="s">
        <v>66</v>
      </c>
      <c r="E203">
        <v>10</v>
      </c>
      <c r="F203">
        <v>11</v>
      </c>
      <c r="G203">
        <v>-1</v>
      </c>
      <c r="H203">
        <v>0</v>
      </c>
      <c r="I203" t="s">
        <v>24</v>
      </c>
    </row>
    <row r="204" spans="1:9">
      <c r="A204" t="s">
        <v>17</v>
      </c>
      <c r="B204" t="s">
        <v>18</v>
      </c>
      <c r="C204">
        <v>2024</v>
      </c>
      <c r="D204" t="s">
        <v>66</v>
      </c>
      <c r="E204">
        <v>11</v>
      </c>
      <c r="F204">
        <v>8</v>
      </c>
      <c r="G204">
        <v>3</v>
      </c>
      <c r="H204">
        <v>4</v>
      </c>
      <c r="I204" t="s">
        <v>12</v>
      </c>
    </row>
    <row r="205" spans="1:9">
      <c r="A205" t="s">
        <v>46</v>
      </c>
      <c r="B205" t="s">
        <v>38</v>
      </c>
      <c r="C205">
        <v>2024</v>
      </c>
      <c r="D205" t="s">
        <v>66</v>
      </c>
      <c r="E205">
        <v>9</v>
      </c>
      <c r="F205">
        <v>13</v>
      </c>
      <c r="G205">
        <v>-4</v>
      </c>
      <c r="H205">
        <v>0</v>
      </c>
      <c r="I205" t="s">
        <v>24</v>
      </c>
    </row>
    <row r="206" spans="1:9">
      <c r="A206" t="s">
        <v>20</v>
      </c>
      <c r="B206" t="s">
        <v>21</v>
      </c>
      <c r="C206">
        <v>2024</v>
      </c>
      <c r="D206" t="s">
        <v>66</v>
      </c>
      <c r="E206">
        <v>16</v>
      </c>
      <c r="F206">
        <v>18</v>
      </c>
      <c r="G206">
        <v>-2</v>
      </c>
      <c r="H206">
        <v>0</v>
      </c>
      <c r="I206" t="s">
        <v>24</v>
      </c>
    </row>
    <row r="207" spans="1:9">
      <c r="A207" t="s">
        <v>23</v>
      </c>
      <c r="B207" t="s">
        <v>16</v>
      </c>
      <c r="C207">
        <v>2024</v>
      </c>
      <c r="D207" t="s">
        <v>66</v>
      </c>
      <c r="E207">
        <v>18</v>
      </c>
      <c r="F207">
        <v>12</v>
      </c>
      <c r="G207">
        <v>6</v>
      </c>
      <c r="H207">
        <v>0</v>
      </c>
      <c r="I207" t="s">
        <v>24</v>
      </c>
    </row>
    <row r="208" spans="1:9">
      <c r="A208" t="s">
        <v>25</v>
      </c>
      <c r="B208" t="s">
        <v>18</v>
      </c>
      <c r="C208">
        <v>2024</v>
      </c>
      <c r="D208" t="s">
        <v>66</v>
      </c>
      <c r="E208">
        <v>1</v>
      </c>
      <c r="F208">
        <v>1</v>
      </c>
      <c r="G208">
        <v>0</v>
      </c>
      <c r="H208">
        <v>25</v>
      </c>
      <c r="I208" t="s">
        <v>12</v>
      </c>
    </row>
    <row r="209" spans="1:9">
      <c r="A209" t="s">
        <v>26</v>
      </c>
      <c r="B209" t="s">
        <v>27</v>
      </c>
      <c r="C209">
        <v>2024</v>
      </c>
      <c r="D209" t="s">
        <v>66</v>
      </c>
      <c r="E209">
        <v>4</v>
      </c>
      <c r="F209">
        <v>5</v>
      </c>
      <c r="G209">
        <v>-1</v>
      </c>
      <c r="H209">
        <v>10</v>
      </c>
      <c r="I209" t="s">
        <v>12</v>
      </c>
    </row>
    <row r="210" spans="1:9">
      <c r="A210" t="s">
        <v>48</v>
      </c>
      <c r="B210" t="s">
        <v>30</v>
      </c>
      <c r="C210">
        <v>2024</v>
      </c>
      <c r="D210" t="s">
        <v>66</v>
      </c>
      <c r="E210">
        <v>12</v>
      </c>
      <c r="F210">
        <v>14</v>
      </c>
      <c r="G210">
        <v>-2</v>
      </c>
      <c r="H210">
        <v>0</v>
      </c>
      <c r="I210" t="s">
        <v>24</v>
      </c>
    </row>
    <row r="211" spans="1:9">
      <c r="A211" t="s">
        <v>28</v>
      </c>
      <c r="B211" t="s">
        <v>14</v>
      </c>
      <c r="C211">
        <v>2024</v>
      </c>
      <c r="D211" t="s">
        <v>66</v>
      </c>
      <c r="E211">
        <v>13</v>
      </c>
      <c r="F211">
        <v>9</v>
      </c>
      <c r="G211">
        <v>4</v>
      </c>
      <c r="H211">
        <v>2</v>
      </c>
      <c r="I211" t="s">
        <v>12</v>
      </c>
    </row>
    <row r="212" spans="1:9">
      <c r="A212" t="s">
        <v>29</v>
      </c>
      <c r="B212" t="s">
        <v>30</v>
      </c>
      <c r="C212">
        <v>2024</v>
      </c>
      <c r="D212" t="s">
        <v>66</v>
      </c>
      <c r="E212">
        <v>15</v>
      </c>
      <c r="F212">
        <v>16</v>
      </c>
      <c r="G212">
        <v>-1</v>
      </c>
      <c r="H212">
        <v>0</v>
      </c>
      <c r="I212" t="s">
        <v>24</v>
      </c>
    </row>
    <row r="213" spans="1:9">
      <c r="A213" t="s">
        <v>31</v>
      </c>
      <c r="B213" t="s">
        <v>27</v>
      </c>
      <c r="C213">
        <v>2024</v>
      </c>
      <c r="D213" t="s">
        <v>66</v>
      </c>
      <c r="E213">
        <v>3</v>
      </c>
      <c r="F213">
        <v>3</v>
      </c>
      <c r="G213">
        <v>0</v>
      </c>
      <c r="H213">
        <v>15</v>
      </c>
      <c r="I213" t="s">
        <v>12</v>
      </c>
    </row>
    <row r="214" spans="1:9">
      <c r="A214" t="s">
        <v>32</v>
      </c>
      <c r="B214" t="s">
        <v>33</v>
      </c>
      <c r="C214">
        <v>2024</v>
      </c>
      <c r="D214" t="s">
        <v>66</v>
      </c>
      <c r="E214">
        <v>2</v>
      </c>
      <c r="F214">
        <v>2</v>
      </c>
      <c r="G214">
        <v>0</v>
      </c>
      <c r="H214">
        <v>18</v>
      </c>
      <c r="I214" t="s">
        <v>12</v>
      </c>
    </row>
    <row r="215" spans="1:9">
      <c r="A215" t="s">
        <v>34</v>
      </c>
      <c r="B215" t="s">
        <v>10</v>
      </c>
      <c r="C215">
        <v>2024</v>
      </c>
      <c r="D215" t="s">
        <v>66</v>
      </c>
      <c r="E215">
        <v>6</v>
      </c>
      <c r="F215">
        <v>7</v>
      </c>
      <c r="G215">
        <v>-1</v>
      </c>
      <c r="H215">
        <v>7</v>
      </c>
      <c r="I215" t="s">
        <v>12</v>
      </c>
    </row>
    <row r="216" spans="1:9">
      <c r="A216" t="s">
        <v>35</v>
      </c>
      <c r="B216" t="s">
        <v>36</v>
      </c>
      <c r="C216">
        <v>2024</v>
      </c>
      <c r="D216" t="s">
        <v>66</v>
      </c>
      <c r="E216">
        <v>14</v>
      </c>
      <c r="F216">
        <v>20</v>
      </c>
      <c r="G216">
        <v>-6</v>
      </c>
      <c r="H216">
        <v>0</v>
      </c>
      <c r="I216" t="s">
        <v>55</v>
      </c>
    </row>
    <row r="217" spans="1:9">
      <c r="A217" t="s">
        <v>37</v>
      </c>
      <c r="B217" t="s">
        <v>38</v>
      </c>
      <c r="C217">
        <v>2024</v>
      </c>
      <c r="D217" t="s">
        <v>66</v>
      </c>
      <c r="E217">
        <v>7</v>
      </c>
      <c r="F217">
        <v>10</v>
      </c>
      <c r="G217">
        <v>-3</v>
      </c>
      <c r="H217">
        <v>1</v>
      </c>
      <c r="I217" t="s">
        <v>24</v>
      </c>
    </row>
    <row r="218" spans="1:9">
      <c r="A218" t="s">
        <v>39</v>
      </c>
      <c r="B218" t="s">
        <v>21</v>
      </c>
      <c r="C218">
        <v>2024</v>
      </c>
      <c r="D218" t="s">
        <v>66</v>
      </c>
      <c r="E218">
        <v>17</v>
      </c>
      <c r="F218">
        <v>15</v>
      </c>
      <c r="G218">
        <v>2</v>
      </c>
      <c r="H218">
        <v>0</v>
      </c>
      <c r="I218" t="s">
        <v>24</v>
      </c>
    </row>
    <row r="219" spans="1:9">
      <c r="A219" t="s">
        <v>40</v>
      </c>
      <c r="B219" t="s">
        <v>33</v>
      </c>
      <c r="C219">
        <v>2024</v>
      </c>
      <c r="D219" t="s">
        <v>66</v>
      </c>
      <c r="E219">
        <v>5</v>
      </c>
      <c r="F219">
        <v>4</v>
      </c>
      <c r="G219">
        <v>1</v>
      </c>
      <c r="H219">
        <v>12</v>
      </c>
      <c r="I219" t="s">
        <v>12</v>
      </c>
    </row>
    <row r="220" spans="1:9">
      <c r="A220" t="s">
        <v>52</v>
      </c>
      <c r="B220" t="s">
        <v>36</v>
      </c>
      <c r="C220">
        <v>2024</v>
      </c>
      <c r="D220" t="s">
        <v>66</v>
      </c>
      <c r="E220">
        <v>19</v>
      </c>
      <c r="F220">
        <v>17</v>
      </c>
      <c r="G220">
        <v>2</v>
      </c>
      <c r="H220">
        <v>0</v>
      </c>
      <c r="I220" t="s">
        <v>24</v>
      </c>
    </row>
    <row r="221" spans="1:9">
      <c r="A221" t="s">
        <v>9</v>
      </c>
      <c r="B221" t="s">
        <v>10</v>
      </c>
      <c r="C221">
        <v>2024</v>
      </c>
      <c r="D221" t="s">
        <v>67</v>
      </c>
      <c r="E221">
        <v>5</v>
      </c>
      <c r="F221">
        <v>3</v>
      </c>
      <c r="G221">
        <v>2</v>
      </c>
      <c r="H221">
        <v>15</v>
      </c>
      <c r="I221" t="s">
        <v>12</v>
      </c>
    </row>
    <row r="222" spans="1:9">
      <c r="A222" t="s">
        <v>13</v>
      </c>
      <c r="B222" t="s">
        <v>14</v>
      </c>
      <c r="C222">
        <v>2024</v>
      </c>
      <c r="D222" t="s">
        <v>67</v>
      </c>
      <c r="E222">
        <v>7</v>
      </c>
      <c r="F222">
        <v>11</v>
      </c>
      <c r="G222">
        <v>-4</v>
      </c>
      <c r="H222">
        <v>0</v>
      </c>
      <c r="I222" t="s">
        <v>12</v>
      </c>
    </row>
    <row r="223" spans="1:9">
      <c r="A223" t="s">
        <v>15</v>
      </c>
      <c r="B223" t="s">
        <v>16</v>
      </c>
      <c r="C223">
        <v>2024</v>
      </c>
      <c r="D223" t="s">
        <v>67</v>
      </c>
      <c r="E223">
        <v>11</v>
      </c>
      <c r="F223">
        <v>13</v>
      </c>
      <c r="G223">
        <v>-2</v>
      </c>
      <c r="H223">
        <v>0</v>
      </c>
      <c r="I223" t="s">
        <v>24</v>
      </c>
    </row>
    <row r="224" spans="1:9">
      <c r="A224" t="s">
        <v>17</v>
      </c>
      <c r="B224" t="s">
        <v>18</v>
      </c>
      <c r="C224">
        <v>2024</v>
      </c>
      <c r="D224" t="s">
        <v>67</v>
      </c>
      <c r="E224">
        <v>16</v>
      </c>
      <c r="F224">
        <v>7</v>
      </c>
      <c r="G224">
        <v>9</v>
      </c>
      <c r="H224">
        <v>6</v>
      </c>
      <c r="I224" t="s">
        <v>12</v>
      </c>
    </row>
    <row r="225" spans="1:9">
      <c r="A225" t="s">
        <v>46</v>
      </c>
      <c r="B225" t="s">
        <v>38</v>
      </c>
      <c r="C225">
        <v>2024</v>
      </c>
      <c r="D225" t="s">
        <v>67</v>
      </c>
      <c r="E225">
        <v>9</v>
      </c>
      <c r="F225">
        <v>12</v>
      </c>
      <c r="G225">
        <v>-3</v>
      </c>
      <c r="H225">
        <v>0</v>
      </c>
      <c r="I225" t="s">
        <v>24</v>
      </c>
    </row>
    <row r="226" spans="1:9">
      <c r="A226" t="s">
        <v>20</v>
      </c>
      <c r="B226" t="s">
        <v>21</v>
      </c>
      <c r="C226">
        <v>2024</v>
      </c>
      <c r="D226" t="s">
        <v>67</v>
      </c>
      <c r="E226">
        <v>12</v>
      </c>
      <c r="F226">
        <v>16</v>
      </c>
      <c r="G226">
        <v>-4</v>
      </c>
      <c r="H226">
        <v>0</v>
      </c>
      <c r="I226" t="s">
        <v>24</v>
      </c>
    </row>
    <row r="227" spans="1:9">
      <c r="A227" t="s">
        <v>23</v>
      </c>
      <c r="B227" t="s">
        <v>16</v>
      </c>
      <c r="C227">
        <v>2024</v>
      </c>
      <c r="D227" t="s">
        <v>67</v>
      </c>
      <c r="E227">
        <v>15</v>
      </c>
      <c r="F227">
        <v>15</v>
      </c>
      <c r="G227">
        <v>0</v>
      </c>
      <c r="H227">
        <v>0</v>
      </c>
      <c r="I227" t="s">
        <v>24</v>
      </c>
    </row>
    <row r="228" spans="1:9">
      <c r="A228" t="s">
        <v>25</v>
      </c>
      <c r="B228" t="s">
        <v>18</v>
      </c>
      <c r="C228">
        <v>2024</v>
      </c>
      <c r="D228" t="s">
        <v>67</v>
      </c>
      <c r="E228">
        <v>3</v>
      </c>
      <c r="F228">
        <v>5</v>
      </c>
      <c r="G228">
        <v>-2</v>
      </c>
      <c r="H228">
        <v>10</v>
      </c>
      <c r="I228" t="s">
        <v>12</v>
      </c>
    </row>
    <row r="229" spans="1:9">
      <c r="A229" t="s">
        <v>26</v>
      </c>
      <c r="B229" t="s">
        <v>27</v>
      </c>
      <c r="C229">
        <v>2024</v>
      </c>
      <c r="D229" t="s">
        <v>67</v>
      </c>
      <c r="E229">
        <v>4</v>
      </c>
      <c r="F229">
        <v>6</v>
      </c>
      <c r="G229">
        <v>-2</v>
      </c>
      <c r="H229">
        <v>8</v>
      </c>
      <c r="I229" t="s">
        <v>12</v>
      </c>
    </row>
    <row r="230" spans="1:9">
      <c r="A230" t="s">
        <v>48</v>
      </c>
      <c r="B230" t="s">
        <v>30</v>
      </c>
      <c r="C230">
        <v>2024</v>
      </c>
      <c r="D230" t="s">
        <v>67</v>
      </c>
      <c r="E230">
        <v>19</v>
      </c>
      <c r="F230">
        <v>18</v>
      </c>
      <c r="G230">
        <v>1</v>
      </c>
      <c r="H230">
        <v>0</v>
      </c>
      <c r="I230" t="s">
        <v>24</v>
      </c>
    </row>
    <row r="231" spans="1:9">
      <c r="A231" t="s">
        <v>28</v>
      </c>
      <c r="B231" t="s">
        <v>14</v>
      </c>
      <c r="C231">
        <v>2024</v>
      </c>
      <c r="D231" t="s">
        <v>67</v>
      </c>
      <c r="E231">
        <v>8</v>
      </c>
      <c r="F231">
        <v>10</v>
      </c>
      <c r="G231">
        <v>-2</v>
      </c>
      <c r="H231">
        <v>1</v>
      </c>
      <c r="I231" t="s">
        <v>12</v>
      </c>
    </row>
    <row r="232" spans="1:9">
      <c r="A232" t="s">
        <v>29</v>
      </c>
      <c r="B232" t="s">
        <v>30</v>
      </c>
      <c r="C232">
        <v>2024</v>
      </c>
      <c r="D232" t="s">
        <v>67</v>
      </c>
      <c r="E232">
        <v>0</v>
      </c>
      <c r="F232">
        <v>20</v>
      </c>
      <c r="G232">
        <v>-20</v>
      </c>
      <c r="H232">
        <v>0</v>
      </c>
      <c r="I232" t="s">
        <v>68</v>
      </c>
    </row>
    <row r="233" spans="1:9">
      <c r="A233" t="s">
        <v>31</v>
      </c>
      <c r="B233" t="s">
        <v>27</v>
      </c>
      <c r="C233">
        <v>2024</v>
      </c>
      <c r="D233" t="s">
        <v>67</v>
      </c>
      <c r="E233">
        <v>6</v>
      </c>
      <c r="F233">
        <v>4</v>
      </c>
      <c r="G233">
        <v>2</v>
      </c>
      <c r="H233">
        <v>12</v>
      </c>
      <c r="I233" t="s">
        <v>12</v>
      </c>
    </row>
    <row r="234" spans="1:9">
      <c r="A234" t="s">
        <v>32</v>
      </c>
      <c r="B234" t="s">
        <v>33</v>
      </c>
      <c r="C234">
        <v>2024</v>
      </c>
      <c r="D234" t="s">
        <v>67</v>
      </c>
      <c r="E234">
        <v>1</v>
      </c>
      <c r="F234">
        <v>2</v>
      </c>
      <c r="G234">
        <v>-1</v>
      </c>
      <c r="H234">
        <v>18</v>
      </c>
      <c r="I234" t="s">
        <v>12</v>
      </c>
    </row>
    <row r="235" spans="1:9">
      <c r="A235" t="s">
        <v>34</v>
      </c>
      <c r="B235" t="s">
        <v>10</v>
      </c>
      <c r="C235">
        <v>2024</v>
      </c>
      <c r="D235" t="s">
        <v>67</v>
      </c>
      <c r="E235">
        <v>17</v>
      </c>
      <c r="F235">
        <v>8</v>
      </c>
      <c r="G235">
        <v>9</v>
      </c>
      <c r="H235">
        <v>5</v>
      </c>
      <c r="I235" t="s">
        <v>12</v>
      </c>
    </row>
    <row r="236" spans="1:9">
      <c r="A236" t="s">
        <v>35</v>
      </c>
      <c r="B236" t="s">
        <v>36</v>
      </c>
      <c r="C236">
        <v>2024</v>
      </c>
      <c r="D236" t="s">
        <v>67</v>
      </c>
      <c r="E236">
        <v>13</v>
      </c>
      <c r="F236">
        <v>14</v>
      </c>
      <c r="G236">
        <v>-1</v>
      </c>
      <c r="H236">
        <v>0</v>
      </c>
      <c r="I236" t="s">
        <v>24</v>
      </c>
    </row>
    <row r="237" spans="1:9">
      <c r="A237" t="s">
        <v>37</v>
      </c>
      <c r="B237" t="s">
        <v>38</v>
      </c>
      <c r="C237">
        <v>2024</v>
      </c>
      <c r="D237" t="s">
        <v>67</v>
      </c>
      <c r="E237">
        <v>10</v>
      </c>
      <c r="F237">
        <v>9</v>
      </c>
      <c r="G237">
        <v>1</v>
      </c>
      <c r="H237">
        <v>2</v>
      </c>
      <c r="I237" t="s">
        <v>12</v>
      </c>
    </row>
    <row r="238" spans="1:9">
      <c r="A238" t="s">
        <v>39</v>
      </c>
      <c r="B238" t="s">
        <v>21</v>
      </c>
      <c r="C238">
        <v>2024</v>
      </c>
      <c r="D238" t="s">
        <v>67</v>
      </c>
      <c r="E238">
        <v>18</v>
      </c>
      <c r="F238">
        <v>19</v>
      </c>
      <c r="G238">
        <v>-1</v>
      </c>
      <c r="H238">
        <v>0</v>
      </c>
      <c r="I238" t="s">
        <v>24</v>
      </c>
    </row>
    <row r="239" spans="1:9">
      <c r="A239" t="s">
        <v>40</v>
      </c>
      <c r="B239" t="s">
        <v>33</v>
      </c>
      <c r="C239">
        <v>2024</v>
      </c>
      <c r="D239" t="s">
        <v>67</v>
      </c>
      <c r="E239">
        <v>2</v>
      </c>
      <c r="F239">
        <v>1</v>
      </c>
      <c r="G239">
        <v>1</v>
      </c>
      <c r="H239">
        <v>25</v>
      </c>
      <c r="I239" t="s">
        <v>12</v>
      </c>
    </row>
    <row r="240" spans="1:9">
      <c r="A240" t="s">
        <v>52</v>
      </c>
      <c r="B240" t="s">
        <v>36</v>
      </c>
      <c r="C240">
        <v>2024</v>
      </c>
      <c r="D240" t="s">
        <v>67</v>
      </c>
      <c r="E240">
        <v>14</v>
      </c>
      <c r="F240">
        <v>17</v>
      </c>
      <c r="G240">
        <v>-3</v>
      </c>
      <c r="H240">
        <v>0</v>
      </c>
      <c r="I240" t="s">
        <v>24</v>
      </c>
    </row>
    <row r="241" spans="1:9">
      <c r="A241" t="s">
        <v>9</v>
      </c>
      <c r="B241" t="s">
        <v>10</v>
      </c>
      <c r="C241">
        <v>2024</v>
      </c>
      <c r="D241" t="s">
        <v>69</v>
      </c>
      <c r="E241">
        <v>6</v>
      </c>
      <c r="F241">
        <v>5</v>
      </c>
      <c r="G241">
        <v>1</v>
      </c>
      <c r="H241">
        <v>10</v>
      </c>
      <c r="I241" t="s">
        <v>12</v>
      </c>
    </row>
    <row r="242" spans="1:9">
      <c r="A242" t="s">
        <v>13</v>
      </c>
      <c r="B242" t="s">
        <v>14</v>
      </c>
      <c r="C242">
        <v>2024</v>
      </c>
      <c r="D242" t="s">
        <v>69</v>
      </c>
      <c r="E242">
        <v>11</v>
      </c>
      <c r="F242">
        <v>11</v>
      </c>
      <c r="G242">
        <v>0</v>
      </c>
      <c r="H242">
        <v>0</v>
      </c>
      <c r="I242" t="s">
        <v>12</v>
      </c>
    </row>
    <row r="243" spans="1:9">
      <c r="A243" t="s">
        <v>15</v>
      </c>
      <c r="B243" t="s">
        <v>16</v>
      </c>
      <c r="C243">
        <v>2024</v>
      </c>
      <c r="D243" t="s">
        <v>69</v>
      </c>
      <c r="E243">
        <v>10</v>
      </c>
      <c r="F243">
        <v>17</v>
      </c>
      <c r="G243">
        <v>-7</v>
      </c>
      <c r="H243">
        <v>0</v>
      </c>
      <c r="I243" t="s">
        <v>24</v>
      </c>
    </row>
    <row r="244" spans="1:9">
      <c r="A244" t="s">
        <v>17</v>
      </c>
      <c r="B244" t="s">
        <v>18</v>
      </c>
      <c r="C244">
        <v>2024</v>
      </c>
      <c r="D244" t="s">
        <v>69</v>
      </c>
      <c r="E244">
        <v>8</v>
      </c>
      <c r="F244">
        <v>8</v>
      </c>
      <c r="G244">
        <v>0</v>
      </c>
      <c r="H244">
        <v>4</v>
      </c>
      <c r="I244" t="s">
        <v>12</v>
      </c>
    </row>
    <row r="245" spans="1:9">
      <c r="A245" t="s">
        <v>46</v>
      </c>
      <c r="B245" t="s">
        <v>38</v>
      </c>
      <c r="C245">
        <v>2024</v>
      </c>
      <c r="D245" t="s">
        <v>69</v>
      </c>
      <c r="E245">
        <v>12</v>
      </c>
      <c r="F245">
        <v>13</v>
      </c>
      <c r="G245">
        <v>-1</v>
      </c>
      <c r="H245">
        <v>0</v>
      </c>
      <c r="I245" t="s">
        <v>12</v>
      </c>
    </row>
    <row r="246" spans="1:9">
      <c r="A246" t="s">
        <v>20</v>
      </c>
      <c r="B246" t="s">
        <v>21</v>
      </c>
      <c r="C246">
        <v>2024</v>
      </c>
      <c r="D246" t="s">
        <v>69</v>
      </c>
      <c r="E246">
        <v>19</v>
      </c>
      <c r="F246">
        <v>16</v>
      </c>
      <c r="G246">
        <v>3</v>
      </c>
      <c r="H246">
        <v>0</v>
      </c>
      <c r="I246" t="s">
        <v>24</v>
      </c>
    </row>
    <row r="247" spans="1:9">
      <c r="A247" t="s">
        <v>23</v>
      </c>
      <c r="B247" t="s">
        <v>16</v>
      </c>
      <c r="C247">
        <v>2024</v>
      </c>
      <c r="D247" t="s">
        <v>69</v>
      </c>
      <c r="E247">
        <v>13</v>
      </c>
      <c r="F247">
        <v>10</v>
      </c>
      <c r="G247">
        <v>3</v>
      </c>
      <c r="H247">
        <v>1</v>
      </c>
      <c r="I247" t="s">
        <v>12</v>
      </c>
    </row>
    <row r="248" spans="1:9">
      <c r="A248" t="s">
        <v>25</v>
      </c>
      <c r="B248" t="s">
        <v>18</v>
      </c>
      <c r="C248">
        <v>2024</v>
      </c>
      <c r="D248" t="s">
        <v>69</v>
      </c>
      <c r="E248">
        <v>7</v>
      </c>
      <c r="F248">
        <v>6</v>
      </c>
      <c r="G248">
        <v>1</v>
      </c>
      <c r="H248">
        <v>8</v>
      </c>
      <c r="I248" t="s">
        <v>12</v>
      </c>
    </row>
    <row r="249" spans="1:9">
      <c r="A249" t="s">
        <v>26</v>
      </c>
      <c r="B249" t="s">
        <v>27</v>
      </c>
      <c r="C249">
        <v>2024</v>
      </c>
      <c r="D249" t="s">
        <v>69</v>
      </c>
      <c r="E249">
        <v>5</v>
      </c>
      <c r="F249">
        <v>4</v>
      </c>
      <c r="G249">
        <v>1</v>
      </c>
      <c r="H249">
        <v>12</v>
      </c>
      <c r="I249" t="s">
        <v>12</v>
      </c>
    </row>
    <row r="250" spans="1:9">
      <c r="A250" t="s">
        <v>48</v>
      </c>
      <c r="B250" t="s">
        <v>30</v>
      </c>
      <c r="C250">
        <v>2024</v>
      </c>
      <c r="D250" t="s">
        <v>69</v>
      </c>
      <c r="E250">
        <v>15</v>
      </c>
      <c r="F250">
        <v>14</v>
      </c>
      <c r="G250">
        <v>1</v>
      </c>
      <c r="H250">
        <v>0</v>
      </c>
      <c r="I250" t="s">
        <v>24</v>
      </c>
    </row>
    <row r="251" spans="1:9">
      <c r="A251" t="s">
        <v>28</v>
      </c>
      <c r="B251" t="s">
        <v>14</v>
      </c>
      <c r="C251">
        <v>2024</v>
      </c>
      <c r="D251" t="s">
        <v>69</v>
      </c>
      <c r="E251">
        <v>17</v>
      </c>
      <c r="F251">
        <v>19</v>
      </c>
      <c r="G251">
        <v>-2</v>
      </c>
      <c r="H251">
        <v>0</v>
      </c>
      <c r="I251" t="s">
        <v>24</v>
      </c>
    </row>
    <row r="252" spans="1:9">
      <c r="A252" t="s">
        <v>29</v>
      </c>
      <c r="B252" t="s">
        <v>30</v>
      </c>
      <c r="C252">
        <v>2024</v>
      </c>
      <c r="D252" t="s">
        <v>69</v>
      </c>
      <c r="E252">
        <v>14</v>
      </c>
      <c r="F252">
        <v>15</v>
      </c>
      <c r="G252">
        <v>-1</v>
      </c>
      <c r="H252">
        <v>0</v>
      </c>
      <c r="I252" t="s">
        <v>24</v>
      </c>
    </row>
    <row r="253" spans="1:9">
      <c r="A253" t="s">
        <v>31</v>
      </c>
      <c r="B253" t="s">
        <v>27</v>
      </c>
      <c r="C253">
        <v>2024</v>
      </c>
      <c r="D253" t="s">
        <v>69</v>
      </c>
      <c r="E253">
        <v>4</v>
      </c>
      <c r="F253">
        <v>1</v>
      </c>
      <c r="G253">
        <v>3</v>
      </c>
      <c r="H253">
        <v>25</v>
      </c>
      <c r="I253" t="s">
        <v>12</v>
      </c>
    </row>
    <row r="254" spans="1:9">
      <c r="A254" t="s">
        <v>32</v>
      </c>
      <c r="B254" t="s">
        <v>33</v>
      </c>
      <c r="C254">
        <v>2024</v>
      </c>
      <c r="D254" t="s">
        <v>69</v>
      </c>
      <c r="E254">
        <v>1</v>
      </c>
      <c r="F254">
        <v>3</v>
      </c>
      <c r="G254">
        <v>-2</v>
      </c>
      <c r="H254">
        <v>16</v>
      </c>
      <c r="I254" t="s">
        <v>12</v>
      </c>
    </row>
    <row r="255" spans="1:9">
      <c r="A255" t="s">
        <v>34</v>
      </c>
      <c r="B255" t="s">
        <v>10</v>
      </c>
      <c r="C255">
        <v>2024</v>
      </c>
      <c r="D255" t="s">
        <v>69</v>
      </c>
      <c r="E255">
        <v>3</v>
      </c>
      <c r="F255">
        <v>7</v>
      </c>
      <c r="G255">
        <v>-4</v>
      </c>
      <c r="H255">
        <v>6</v>
      </c>
      <c r="I255" t="s">
        <v>12</v>
      </c>
    </row>
    <row r="256" spans="1:9">
      <c r="A256" t="s">
        <v>35</v>
      </c>
      <c r="B256" t="s">
        <v>36</v>
      </c>
      <c r="C256">
        <v>2024</v>
      </c>
      <c r="D256" t="s">
        <v>69</v>
      </c>
      <c r="E256">
        <v>9</v>
      </c>
      <c r="F256">
        <v>9</v>
      </c>
      <c r="G256">
        <v>0</v>
      </c>
      <c r="H256">
        <v>2</v>
      </c>
      <c r="I256" t="s">
        <v>12</v>
      </c>
    </row>
    <row r="257" spans="1:9">
      <c r="A257" t="s">
        <v>37</v>
      </c>
      <c r="B257" t="s">
        <v>38</v>
      </c>
      <c r="C257">
        <v>2024</v>
      </c>
      <c r="D257" t="s">
        <v>69</v>
      </c>
      <c r="E257">
        <v>16</v>
      </c>
      <c r="F257">
        <v>20</v>
      </c>
      <c r="G257">
        <v>-4</v>
      </c>
      <c r="H257">
        <v>0</v>
      </c>
      <c r="I257" t="s">
        <v>70</v>
      </c>
    </row>
    <row r="258" spans="1:9">
      <c r="A258" t="s">
        <v>39</v>
      </c>
      <c r="B258" t="s">
        <v>21</v>
      </c>
      <c r="C258">
        <v>2024</v>
      </c>
      <c r="D258" t="s">
        <v>69</v>
      </c>
      <c r="E258">
        <v>20</v>
      </c>
      <c r="F258">
        <v>18</v>
      </c>
      <c r="G258">
        <v>2</v>
      </c>
      <c r="H258">
        <v>0</v>
      </c>
      <c r="I258" t="s">
        <v>24</v>
      </c>
    </row>
    <row r="259" spans="1:9">
      <c r="A259" t="s">
        <v>40</v>
      </c>
      <c r="B259" t="s">
        <v>33</v>
      </c>
      <c r="C259">
        <v>2024</v>
      </c>
      <c r="D259" t="s">
        <v>69</v>
      </c>
      <c r="E259">
        <v>2</v>
      </c>
      <c r="F259">
        <v>2</v>
      </c>
      <c r="G259">
        <v>0</v>
      </c>
      <c r="H259">
        <v>18</v>
      </c>
      <c r="I259" t="s">
        <v>12</v>
      </c>
    </row>
    <row r="260" spans="1:9">
      <c r="A260" t="s">
        <v>43</v>
      </c>
      <c r="B260" t="s">
        <v>36</v>
      </c>
      <c r="C260">
        <v>2024</v>
      </c>
      <c r="D260" t="s">
        <v>69</v>
      </c>
      <c r="E260">
        <v>18</v>
      </c>
      <c r="F260">
        <v>12</v>
      </c>
      <c r="G260">
        <v>6</v>
      </c>
      <c r="H260">
        <v>0</v>
      </c>
      <c r="I260" t="s">
        <v>12</v>
      </c>
    </row>
    <row r="261" spans="1:9">
      <c r="A261" t="s">
        <v>9</v>
      </c>
      <c r="B261" t="s">
        <v>10</v>
      </c>
      <c r="C261">
        <v>2024</v>
      </c>
      <c r="D261" t="s">
        <v>71</v>
      </c>
      <c r="E261">
        <v>7</v>
      </c>
      <c r="F261">
        <v>9</v>
      </c>
      <c r="G261">
        <v>-2</v>
      </c>
      <c r="H261">
        <v>2</v>
      </c>
      <c r="I261" t="s">
        <v>12</v>
      </c>
    </row>
    <row r="262" spans="1:9">
      <c r="A262" t="s">
        <v>13</v>
      </c>
      <c r="B262" t="s">
        <v>14</v>
      </c>
      <c r="C262">
        <v>2024</v>
      </c>
      <c r="D262" t="s">
        <v>71</v>
      </c>
      <c r="E262">
        <v>5</v>
      </c>
      <c r="F262">
        <v>6</v>
      </c>
      <c r="G262">
        <v>-1</v>
      </c>
      <c r="H262">
        <v>8</v>
      </c>
      <c r="I262" t="s">
        <v>12</v>
      </c>
    </row>
    <row r="263" spans="1:9">
      <c r="A263" t="s">
        <v>15</v>
      </c>
      <c r="B263" t="s">
        <v>16</v>
      </c>
      <c r="C263">
        <v>2024</v>
      </c>
      <c r="D263" t="s">
        <v>71</v>
      </c>
      <c r="E263">
        <v>12</v>
      </c>
      <c r="F263">
        <v>11</v>
      </c>
      <c r="G263">
        <v>1</v>
      </c>
      <c r="H263">
        <v>0</v>
      </c>
      <c r="I263" t="s">
        <v>24</v>
      </c>
    </row>
    <row r="264" spans="1:9">
      <c r="A264" t="s">
        <v>17</v>
      </c>
      <c r="B264" t="s">
        <v>18</v>
      </c>
      <c r="C264">
        <v>2024</v>
      </c>
      <c r="D264" t="s">
        <v>71</v>
      </c>
      <c r="E264">
        <v>2</v>
      </c>
      <c r="F264">
        <v>2</v>
      </c>
      <c r="G264">
        <v>0</v>
      </c>
      <c r="H264">
        <v>18</v>
      </c>
      <c r="I264" t="s">
        <v>12</v>
      </c>
    </row>
    <row r="265" spans="1:9">
      <c r="A265" t="s">
        <v>46</v>
      </c>
      <c r="B265" t="s">
        <v>38</v>
      </c>
      <c r="C265">
        <v>2024</v>
      </c>
      <c r="D265" t="s">
        <v>71</v>
      </c>
      <c r="E265">
        <v>11</v>
      </c>
      <c r="F265">
        <v>19</v>
      </c>
      <c r="G265">
        <v>-8</v>
      </c>
      <c r="H265">
        <v>0</v>
      </c>
      <c r="I265" t="s">
        <v>49</v>
      </c>
    </row>
    <row r="266" spans="1:9">
      <c r="A266" t="s">
        <v>20</v>
      </c>
      <c r="B266" t="s">
        <v>21</v>
      </c>
      <c r="C266">
        <v>2024</v>
      </c>
      <c r="D266" t="s">
        <v>71</v>
      </c>
      <c r="E266">
        <v>13</v>
      </c>
      <c r="F266">
        <v>14</v>
      </c>
      <c r="G266">
        <v>-1</v>
      </c>
      <c r="H266">
        <v>0</v>
      </c>
      <c r="I266" t="s">
        <v>24</v>
      </c>
    </row>
    <row r="267" spans="1:9">
      <c r="A267" t="s">
        <v>23</v>
      </c>
      <c r="B267" t="s">
        <v>16</v>
      </c>
      <c r="C267">
        <v>2024</v>
      </c>
      <c r="D267" t="s">
        <v>71</v>
      </c>
      <c r="E267">
        <v>18</v>
      </c>
      <c r="F267">
        <v>13</v>
      </c>
      <c r="G267">
        <v>5</v>
      </c>
      <c r="H267">
        <v>0</v>
      </c>
      <c r="I267" t="s">
        <v>24</v>
      </c>
    </row>
    <row r="268" spans="1:9">
      <c r="A268" t="s">
        <v>25</v>
      </c>
      <c r="B268" t="s">
        <v>18</v>
      </c>
      <c r="C268">
        <v>2024</v>
      </c>
      <c r="D268" t="s">
        <v>71</v>
      </c>
      <c r="E268">
        <v>1</v>
      </c>
      <c r="F268">
        <v>1</v>
      </c>
      <c r="G268">
        <v>0</v>
      </c>
      <c r="H268">
        <v>26</v>
      </c>
      <c r="I268" t="s">
        <v>12</v>
      </c>
    </row>
    <row r="269" spans="1:9">
      <c r="A269" t="s">
        <v>26</v>
      </c>
      <c r="B269" t="s">
        <v>27</v>
      </c>
      <c r="C269">
        <v>2024</v>
      </c>
      <c r="D269" t="s">
        <v>71</v>
      </c>
      <c r="E269">
        <v>4</v>
      </c>
      <c r="F269">
        <v>3</v>
      </c>
      <c r="G269">
        <v>1</v>
      </c>
      <c r="H269">
        <v>15</v>
      </c>
      <c r="I269" t="s">
        <v>12</v>
      </c>
    </row>
    <row r="270" spans="1:9">
      <c r="A270" t="s">
        <v>48</v>
      </c>
      <c r="B270" t="s">
        <v>30</v>
      </c>
      <c r="C270">
        <v>2024</v>
      </c>
      <c r="D270" t="s">
        <v>71</v>
      </c>
      <c r="E270">
        <v>15</v>
      </c>
      <c r="F270">
        <v>15</v>
      </c>
      <c r="G270">
        <v>0</v>
      </c>
      <c r="H270">
        <v>0</v>
      </c>
      <c r="I270" t="s">
        <v>24</v>
      </c>
    </row>
    <row r="271" spans="1:9">
      <c r="A271" t="s">
        <v>28</v>
      </c>
      <c r="B271" t="s">
        <v>14</v>
      </c>
      <c r="C271">
        <v>2024</v>
      </c>
      <c r="D271" t="s">
        <v>71</v>
      </c>
      <c r="E271">
        <v>16</v>
      </c>
      <c r="F271">
        <v>12</v>
      </c>
      <c r="G271">
        <v>4</v>
      </c>
      <c r="H271">
        <v>0</v>
      </c>
      <c r="I271" t="s">
        <v>24</v>
      </c>
    </row>
    <row r="272" spans="1:9">
      <c r="A272" t="s">
        <v>29</v>
      </c>
      <c r="B272" t="s">
        <v>30</v>
      </c>
      <c r="C272">
        <v>2024</v>
      </c>
      <c r="D272" t="s">
        <v>71</v>
      </c>
      <c r="E272">
        <v>17</v>
      </c>
      <c r="F272">
        <v>16</v>
      </c>
      <c r="G272">
        <v>1</v>
      </c>
      <c r="H272">
        <v>0</v>
      </c>
      <c r="I272" t="s">
        <v>24</v>
      </c>
    </row>
    <row r="273" spans="1:9">
      <c r="A273" t="s">
        <v>31</v>
      </c>
      <c r="B273" t="s">
        <v>27</v>
      </c>
      <c r="C273">
        <v>2024</v>
      </c>
      <c r="D273" t="s">
        <v>71</v>
      </c>
      <c r="E273">
        <v>8</v>
      </c>
      <c r="F273">
        <v>4</v>
      </c>
      <c r="G273">
        <v>4</v>
      </c>
      <c r="H273">
        <v>12</v>
      </c>
      <c r="I273" t="s">
        <v>12</v>
      </c>
    </row>
    <row r="274" spans="1:9">
      <c r="A274" t="s">
        <v>32</v>
      </c>
      <c r="B274" t="s">
        <v>33</v>
      </c>
      <c r="C274">
        <v>2024</v>
      </c>
      <c r="D274" t="s">
        <v>71</v>
      </c>
      <c r="E274">
        <v>3</v>
      </c>
      <c r="F274">
        <v>5</v>
      </c>
      <c r="G274">
        <v>-2</v>
      </c>
      <c r="H274">
        <v>10</v>
      </c>
      <c r="I274" t="s">
        <v>12</v>
      </c>
    </row>
    <row r="275" spans="1:9">
      <c r="A275" t="s">
        <v>34</v>
      </c>
      <c r="B275" t="s">
        <v>10</v>
      </c>
      <c r="C275">
        <v>2024</v>
      </c>
      <c r="D275" t="s">
        <v>71</v>
      </c>
      <c r="E275">
        <v>9</v>
      </c>
      <c r="F275">
        <v>7</v>
      </c>
      <c r="G275">
        <v>2</v>
      </c>
      <c r="H275">
        <v>6</v>
      </c>
      <c r="I275" t="s">
        <v>12</v>
      </c>
    </row>
    <row r="276" spans="1:9">
      <c r="A276" t="s">
        <v>35</v>
      </c>
      <c r="B276" t="s">
        <v>36</v>
      </c>
      <c r="C276">
        <v>2024</v>
      </c>
      <c r="D276" t="s">
        <v>71</v>
      </c>
      <c r="E276">
        <v>14</v>
      </c>
      <c r="F276">
        <v>20</v>
      </c>
      <c r="G276">
        <v>-6</v>
      </c>
      <c r="H276">
        <v>0</v>
      </c>
      <c r="I276" t="s">
        <v>49</v>
      </c>
    </row>
    <row r="277" spans="1:9">
      <c r="A277" t="s">
        <v>37</v>
      </c>
      <c r="B277" t="s">
        <v>38</v>
      </c>
      <c r="C277">
        <v>2024</v>
      </c>
      <c r="D277" t="s">
        <v>71</v>
      </c>
      <c r="E277">
        <v>10</v>
      </c>
      <c r="F277">
        <v>10</v>
      </c>
      <c r="G277">
        <v>0</v>
      </c>
      <c r="H277">
        <v>1</v>
      </c>
      <c r="I277" t="s">
        <v>24</v>
      </c>
    </row>
    <row r="278" spans="1:9">
      <c r="A278" t="s">
        <v>39</v>
      </c>
      <c r="B278" t="s">
        <v>21</v>
      </c>
      <c r="C278">
        <v>2024</v>
      </c>
      <c r="D278" t="s">
        <v>71</v>
      </c>
      <c r="E278">
        <v>20</v>
      </c>
      <c r="F278">
        <v>18</v>
      </c>
      <c r="G278">
        <v>2</v>
      </c>
      <c r="H278">
        <v>0</v>
      </c>
      <c r="I278" t="s">
        <v>61</v>
      </c>
    </row>
    <row r="279" spans="1:9">
      <c r="A279" t="s">
        <v>40</v>
      </c>
      <c r="B279" t="s">
        <v>33</v>
      </c>
      <c r="C279">
        <v>2024</v>
      </c>
      <c r="D279" t="s">
        <v>71</v>
      </c>
      <c r="E279">
        <v>6</v>
      </c>
      <c r="F279">
        <v>8</v>
      </c>
      <c r="G279">
        <v>-2</v>
      </c>
      <c r="H279">
        <v>4</v>
      </c>
      <c r="I279" t="s">
        <v>12</v>
      </c>
    </row>
    <row r="280" spans="1:9">
      <c r="A280" t="s">
        <v>52</v>
      </c>
      <c r="B280" t="s">
        <v>36</v>
      </c>
      <c r="C280">
        <v>2024</v>
      </c>
      <c r="D280" t="s">
        <v>71</v>
      </c>
      <c r="E280">
        <v>19</v>
      </c>
      <c r="F280">
        <v>17</v>
      </c>
      <c r="G280">
        <v>2</v>
      </c>
      <c r="H280">
        <v>0</v>
      </c>
      <c r="I280" t="s">
        <v>24</v>
      </c>
    </row>
    <row r="281" spans="1:9">
      <c r="A281" t="s">
        <v>9</v>
      </c>
      <c r="B281" t="s">
        <v>10</v>
      </c>
      <c r="C281">
        <v>2024</v>
      </c>
      <c r="D281" t="s">
        <v>72</v>
      </c>
      <c r="E281">
        <v>10</v>
      </c>
      <c r="F281">
        <v>2</v>
      </c>
      <c r="G281">
        <v>8</v>
      </c>
      <c r="H281">
        <v>18</v>
      </c>
      <c r="I281" t="s">
        <v>12</v>
      </c>
    </row>
    <row r="282" spans="1:9">
      <c r="A282" t="s">
        <v>13</v>
      </c>
      <c r="B282" t="s">
        <v>14</v>
      </c>
      <c r="C282">
        <v>2024</v>
      </c>
      <c r="D282" t="s">
        <v>72</v>
      </c>
      <c r="E282">
        <v>16</v>
      </c>
      <c r="F282">
        <v>11</v>
      </c>
      <c r="G282">
        <v>5</v>
      </c>
      <c r="H282">
        <v>0</v>
      </c>
      <c r="I282" t="s">
        <v>12</v>
      </c>
    </row>
    <row r="283" spans="1:9">
      <c r="A283" t="s">
        <v>15</v>
      </c>
      <c r="B283" t="s">
        <v>16</v>
      </c>
      <c r="C283">
        <v>2024</v>
      </c>
      <c r="D283" t="s">
        <v>72</v>
      </c>
      <c r="E283">
        <v>9</v>
      </c>
      <c r="F283">
        <v>8</v>
      </c>
      <c r="G283">
        <v>1</v>
      </c>
      <c r="H283">
        <v>4</v>
      </c>
      <c r="I283" t="s">
        <v>12</v>
      </c>
    </row>
    <row r="284" spans="1:9">
      <c r="A284" t="s">
        <v>17</v>
      </c>
      <c r="B284" t="s">
        <v>18</v>
      </c>
      <c r="C284">
        <v>2024</v>
      </c>
      <c r="D284" t="s">
        <v>72</v>
      </c>
      <c r="E284">
        <v>15</v>
      </c>
      <c r="F284">
        <v>10</v>
      </c>
      <c r="G284">
        <v>5</v>
      </c>
      <c r="H284">
        <v>1</v>
      </c>
      <c r="I284" t="s">
        <v>12</v>
      </c>
    </row>
    <row r="285" spans="1:9">
      <c r="A285" t="s">
        <v>20</v>
      </c>
      <c r="B285" t="s">
        <v>21</v>
      </c>
      <c r="C285">
        <v>2024</v>
      </c>
      <c r="D285" t="s">
        <v>72</v>
      </c>
      <c r="E285">
        <v>19</v>
      </c>
      <c r="F285">
        <v>18</v>
      </c>
      <c r="G285">
        <v>1</v>
      </c>
      <c r="H285">
        <v>0</v>
      </c>
      <c r="I285" t="s">
        <v>24</v>
      </c>
    </row>
    <row r="286" spans="1:9">
      <c r="A286" t="s">
        <v>23</v>
      </c>
      <c r="B286" t="s">
        <v>16</v>
      </c>
      <c r="C286">
        <v>2024</v>
      </c>
      <c r="D286" t="s">
        <v>72</v>
      </c>
      <c r="E286">
        <v>12</v>
      </c>
      <c r="F286">
        <v>12</v>
      </c>
      <c r="G286">
        <v>0</v>
      </c>
      <c r="H286">
        <v>0</v>
      </c>
      <c r="I286" t="s">
        <v>12</v>
      </c>
    </row>
    <row r="287" spans="1:9">
      <c r="A287" t="s">
        <v>25</v>
      </c>
      <c r="B287" t="s">
        <v>18</v>
      </c>
      <c r="C287">
        <v>2024</v>
      </c>
      <c r="D287" t="s">
        <v>72</v>
      </c>
      <c r="E287">
        <v>5</v>
      </c>
      <c r="F287">
        <v>5</v>
      </c>
      <c r="G287">
        <v>0</v>
      </c>
      <c r="H287">
        <v>10</v>
      </c>
      <c r="I287" t="s">
        <v>12</v>
      </c>
    </row>
    <row r="288" spans="1:9">
      <c r="A288" t="s">
        <v>26</v>
      </c>
      <c r="B288" t="s">
        <v>27</v>
      </c>
      <c r="C288">
        <v>2024</v>
      </c>
      <c r="D288" t="s">
        <v>72</v>
      </c>
      <c r="E288">
        <v>2</v>
      </c>
      <c r="F288">
        <v>3</v>
      </c>
      <c r="G288">
        <v>-1</v>
      </c>
      <c r="H288">
        <v>15</v>
      </c>
      <c r="I288" t="s">
        <v>12</v>
      </c>
    </row>
    <row r="289" spans="1:9">
      <c r="A289" t="s">
        <v>48</v>
      </c>
      <c r="B289" t="s">
        <v>30</v>
      </c>
      <c r="C289">
        <v>2024</v>
      </c>
      <c r="D289" t="s">
        <v>72</v>
      </c>
      <c r="E289">
        <v>11</v>
      </c>
      <c r="F289">
        <v>17</v>
      </c>
      <c r="G289">
        <v>-6</v>
      </c>
      <c r="H289">
        <v>0</v>
      </c>
      <c r="I289" t="s">
        <v>24</v>
      </c>
    </row>
    <row r="290" spans="1:9">
      <c r="A290" t="s">
        <v>28</v>
      </c>
      <c r="B290" t="s">
        <v>14</v>
      </c>
      <c r="C290">
        <v>2024</v>
      </c>
      <c r="D290" t="s">
        <v>72</v>
      </c>
      <c r="E290">
        <v>18</v>
      </c>
      <c r="F290">
        <v>15</v>
      </c>
      <c r="G290">
        <v>3</v>
      </c>
      <c r="H290">
        <v>0</v>
      </c>
      <c r="I290" t="s">
        <v>12</v>
      </c>
    </row>
    <row r="291" spans="1:9">
      <c r="A291" t="s">
        <v>29</v>
      </c>
      <c r="B291" t="s">
        <v>30</v>
      </c>
      <c r="C291">
        <v>2024</v>
      </c>
      <c r="D291" t="s">
        <v>72</v>
      </c>
      <c r="E291">
        <v>3</v>
      </c>
      <c r="F291">
        <v>20</v>
      </c>
      <c r="G291">
        <v>-17</v>
      </c>
      <c r="H291">
        <v>0</v>
      </c>
      <c r="I291" t="s">
        <v>42</v>
      </c>
    </row>
    <row r="292" spans="1:9">
      <c r="A292" t="s">
        <v>31</v>
      </c>
      <c r="B292" t="s">
        <v>27</v>
      </c>
      <c r="C292">
        <v>2024</v>
      </c>
      <c r="D292" t="s">
        <v>72</v>
      </c>
      <c r="E292">
        <v>4</v>
      </c>
      <c r="F292">
        <v>4</v>
      </c>
      <c r="G292">
        <v>0</v>
      </c>
      <c r="H292">
        <v>12</v>
      </c>
      <c r="I292" t="s">
        <v>12</v>
      </c>
    </row>
    <row r="293" spans="1:9">
      <c r="A293" t="s">
        <v>32</v>
      </c>
      <c r="B293" t="s">
        <v>33</v>
      </c>
      <c r="C293">
        <v>2024</v>
      </c>
      <c r="D293" t="s">
        <v>72</v>
      </c>
      <c r="E293">
        <v>6</v>
      </c>
      <c r="F293">
        <v>6</v>
      </c>
      <c r="G293">
        <v>0</v>
      </c>
      <c r="H293">
        <v>9</v>
      </c>
      <c r="I293" t="s">
        <v>12</v>
      </c>
    </row>
    <row r="294" spans="1:9">
      <c r="A294" t="s">
        <v>34</v>
      </c>
      <c r="B294" t="s">
        <v>10</v>
      </c>
      <c r="C294">
        <v>2024</v>
      </c>
      <c r="D294" t="s">
        <v>72</v>
      </c>
      <c r="E294">
        <v>1</v>
      </c>
      <c r="F294">
        <v>1</v>
      </c>
      <c r="G294">
        <v>0</v>
      </c>
      <c r="H294">
        <v>25</v>
      </c>
      <c r="I294" t="s">
        <v>12</v>
      </c>
    </row>
    <row r="295" spans="1:9">
      <c r="A295" t="s">
        <v>35</v>
      </c>
      <c r="B295" t="s">
        <v>36</v>
      </c>
      <c r="C295">
        <v>2024</v>
      </c>
      <c r="D295" t="s">
        <v>72</v>
      </c>
      <c r="E295">
        <v>17</v>
      </c>
      <c r="F295">
        <v>19</v>
      </c>
      <c r="G295">
        <v>-2</v>
      </c>
      <c r="H295">
        <v>0</v>
      </c>
      <c r="I295" t="s">
        <v>73</v>
      </c>
    </row>
    <row r="296" spans="1:9">
      <c r="A296" t="s">
        <v>37</v>
      </c>
      <c r="B296" t="s">
        <v>38</v>
      </c>
      <c r="C296">
        <v>2024</v>
      </c>
      <c r="D296" t="s">
        <v>72</v>
      </c>
      <c r="E296">
        <v>7</v>
      </c>
      <c r="F296">
        <v>9</v>
      </c>
      <c r="G296">
        <v>-2</v>
      </c>
      <c r="H296">
        <v>2</v>
      </c>
      <c r="I296" t="s">
        <v>12</v>
      </c>
    </row>
    <row r="297" spans="1:9">
      <c r="A297" t="s">
        <v>39</v>
      </c>
      <c r="B297" t="s">
        <v>21</v>
      </c>
      <c r="C297">
        <v>2024</v>
      </c>
      <c r="D297" t="s">
        <v>72</v>
      </c>
      <c r="E297">
        <v>13</v>
      </c>
      <c r="F297">
        <v>13</v>
      </c>
      <c r="G297">
        <v>0</v>
      </c>
      <c r="H297">
        <v>0</v>
      </c>
      <c r="I297" t="s">
        <v>12</v>
      </c>
    </row>
    <row r="298" spans="1:9">
      <c r="A298" t="s">
        <v>40</v>
      </c>
      <c r="B298" t="s">
        <v>33</v>
      </c>
      <c r="C298">
        <v>2024</v>
      </c>
      <c r="D298" t="s">
        <v>72</v>
      </c>
      <c r="E298">
        <v>8</v>
      </c>
      <c r="F298">
        <v>7</v>
      </c>
      <c r="G298">
        <v>1</v>
      </c>
      <c r="H298">
        <v>6</v>
      </c>
      <c r="I298" t="s">
        <v>12</v>
      </c>
    </row>
    <row r="299" spans="1:9">
      <c r="A299" t="s">
        <v>41</v>
      </c>
      <c r="B299" t="s">
        <v>38</v>
      </c>
      <c r="C299">
        <v>2024</v>
      </c>
      <c r="D299" t="s">
        <v>72</v>
      </c>
      <c r="E299">
        <v>14</v>
      </c>
      <c r="F299">
        <v>16</v>
      </c>
      <c r="G299">
        <v>-2</v>
      </c>
      <c r="H299">
        <v>0</v>
      </c>
      <c r="I299" t="s">
        <v>12</v>
      </c>
    </row>
    <row r="300" spans="1:9">
      <c r="A300" t="s">
        <v>43</v>
      </c>
      <c r="B300" t="s">
        <v>36</v>
      </c>
      <c r="C300">
        <v>2024</v>
      </c>
      <c r="D300" t="s">
        <v>72</v>
      </c>
      <c r="E300">
        <v>0</v>
      </c>
      <c r="F300">
        <v>14</v>
      </c>
      <c r="G300">
        <v>-14</v>
      </c>
      <c r="H300">
        <v>0</v>
      </c>
      <c r="I300" t="s">
        <v>12</v>
      </c>
    </row>
    <row r="301" spans="1:9">
      <c r="A301" t="s">
        <v>9</v>
      </c>
      <c r="B301" t="s">
        <v>10</v>
      </c>
      <c r="C301">
        <v>2024</v>
      </c>
      <c r="D301" t="s">
        <v>74</v>
      </c>
      <c r="E301">
        <v>6</v>
      </c>
      <c r="F301">
        <v>4</v>
      </c>
      <c r="G301">
        <v>2</v>
      </c>
      <c r="H301">
        <v>12</v>
      </c>
      <c r="I301" t="s">
        <v>12</v>
      </c>
    </row>
    <row r="302" spans="1:9">
      <c r="A302" t="s">
        <v>13</v>
      </c>
      <c r="B302" t="s">
        <v>14</v>
      </c>
      <c r="C302">
        <v>2024</v>
      </c>
      <c r="D302" t="s">
        <v>74</v>
      </c>
      <c r="E302">
        <v>13</v>
      </c>
      <c r="F302">
        <v>18</v>
      </c>
      <c r="G302">
        <v>-5</v>
      </c>
      <c r="H302">
        <v>0</v>
      </c>
      <c r="I302" t="s">
        <v>47</v>
      </c>
    </row>
    <row r="303" spans="1:9">
      <c r="A303" t="s">
        <v>15</v>
      </c>
      <c r="B303" t="s">
        <v>16</v>
      </c>
      <c r="C303">
        <v>2024</v>
      </c>
      <c r="D303" t="s">
        <v>74</v>
      </c>
      <c r="E303">
        <v>10</v>
      </c>
      <c r="F303">
        <v>9</v>
      </c>
      <c r="G303">
        <v>1</v>
      </c>
      <c r="H303">
        <v>2</v>
      </c>
      <c r="I303" t="s">
        <v>24</v>
      </c>
    </row>
    <row r="304" spans="1:9">
      <c r="A304" t="s">
        <v>17</v>
      </c>
      <c r="B304" t="s">
        <v>18</v>
      </c>
      <c r="C304">
        <v>2024</v>
      </c>
      <c r="D304" t="s">
        <v>74</v>
      </c>
      <c r="E304">
        <v>18</v>
      </c>
      <c r="F304">
        <v>17</v>
      </c>
      <c r="G304">
        <v>1</v>
      </c>
      <c r="H304">
        <v>0</v>
      </c>
      <c r="I304" t="s">
        <v>24</v>
      </c>
    </row>
    <row r="305" spans="1:9">
      <c r="A305" t="s">
        <v>20</v>
      </c>
      <c r="B305" t="s">
        <v>21</v>
      </c>
      <c r="C305">
        <v>2024</v>
      </c>
      <c r="D305" t="s">
        <v>74</v>
      </c>
      <c r="E305">
        <v>15</v>
      </c>
      <c r="F305">
        <v>14</v>
      </c>
      <c r="G305">
        <v>1</v>
      </c>
      <c r="H305">
        <v>0</v>
      </c>
      <c r="I305" t="s">
        <v>24</v>
      </c>
    </row>
    <row r="306" spans="1:9">
      <c r="A306" t="s">
        <v>23</v>
      </c>
      <c r="B306" t="s">
        <v>16</v>
      </c>
      <c r="C306">
        <v>2024</v>
      </c>
      <c r="D306" t="s">
        <v>74</v>
      </c>
      <c r="E306">
        <v>7</v>
      </c>
      <c r="F306">
        <v>7</v>
      </c>
      <c r="G306">
        <v>0</v>
      </c>
      <c r="H306">
        <v>6</v>
      </c>
      <c r="I306" t="s">
        <v>12</v>
      </c>
    </row>
    <row r="307" spans="1:9">
      <c r="A307" t="s">
        <v>25</v>
      </c>
      <c r="B307" t="s">
        <v>18</v>
      </c>
      <c r="C307">
        <v>2024</v>
      </c>
      <c r="D307" t="s">
        <v>74</v>
      </c>
      <c r="E307">
        <v>2</v>
      </c>
      <c r="F307">
        <v>6</v>
      </c>
      <c r="G307">
        <v>-4</v>
      </c>
      <c r="H307">
        <v>8</v>
      </c>
      <c r="I307" t="s">
        <v>12</v>
      </c>
    </row>
    <row r="308" spans="1:9">
      <c r="A308" t="s">
        <v>26</v>
      </c>
      <c r="B308" t="s">
        <v>27</v>
      </c>
      <c r="C308">
        <v>2024</v>
      </c>
      <c r="D308" t="s">
        <v>74</v>
      </c>
      <c r="E308">
        <v>1</v>
      </c>
      <c r="F308">
        <v>1</v>
      </c>
      <c r="G308">
        <v>0</v>
      </c>
      <c r="H308">
        <v>25</v>
      </c>
      <c r="I308" t="s">
        <v>12</v>
      </c>
    </row>
    <row r="309" spans="1:9">
      <c r="A309" t="s">
        <v>48</v>
      </c>
      <c r="B309" t="s">
        <v>30</v>
      </c>
      <c r="C309">
        <v>2024</v>
      </c>
      <c r="D309" t="s">
        <v>74</v>
      </c>
      <c r="E309">
        <v>0</v>
      </c>
      <c r="F309">
        <v>13</v>
      </c>
      <c r="G309">
        <v>-13</v>
      </c>
      <c r="H309">
        <v>0</v>
      </c>
      <c r="I309" t="s">
        <v>24</v>
      </c>
    </row>
    <row r="310" spans="1:9">
      <c r="A310" t="s">
        <v>28</v>
      </c>
      <c r="B310" t="s">
        <v>14</v>
      </c>
      <c r="C310">
        <v>2024</v>
      </c>
      <c r="D310" t="s">
        <v>74</v>
      </c>
      <c r="E310">
        <v>14</v>
      </c>
      <c r="F310">
        <v>11</v>
      </c>
      <c r="G310">
        <v>3</v>
      </c>
      <c r="H310">
        <v>0</v>
      </c>
      <c r="I310" t="s">
        <v>24</v>
      </c>
    </row>
    <row r="311" spans="1:9">
      <c r="A311" t="s">
        <v>29</v>
      </c>
      <c r="B311" t="s">
        <v>30</v>
      </c>
      <c r="C311">
        <v>2024</v>
      </c>
      <c r="D311" t="s">
        <v>74</v>
      </c>
      <c r="E311">
        <v>8</v>
      </c>
      <c r="F311">
        <v>10</v>
      </c>
      <c r="G311">
        <v>-2</v>
      </c>
      <c r="H311">
        <v>1</v>
      </c>
      <c r="I311" t="s">
        <v>24</v>
      </c>
    </row>
    <row r="312" spans="1:9">
      <c r="A312" t="s">
        <v>31</v>
      </c>
      <c r="B312" t="s">
        <v>27</v>
      </c>
      <c r="C312">
        <v>2024</v>
      </c>
      <c r="D312" t="s">
        <v>74</v>
      </c>
      <c r="E312">
        <v>4</v>
      </c>
      <c r="F312">
        <v>3</v>
      </c>
      <c r="G312">
        <v>1</v>
      </c>
      <c r="H312">
        <v>16</v>
      </c>
      <c r="I312" t="s">
        <v>12</v>
      </c>
    </row>
    <row r="313" spans="1:9">
      <c r="A313" t="s">
        <v>32</v>
      </c>
      <c r="B313" t="s">
        <v>33</v>
      </c>
      <c r="C313">
        <v>2024</v>
      </c>
      <c r="D313" t="s">
        <v>74</v>
      </c>
      <c r="E313">
        <v>3</v>
      </c>
      <c r="F313">
        <v>2</v>
      </c>
      <c r="G313">
        <v>1</v>
      </c>
      <c r="H313">
        <v>18</v>
      </c>
      <c r="I313" t="s">
        <v>12</v>
      </c>
    </row>
    <row r="314" spans="1:9">
      <c r="A314" t="s">
        <v>34</v>
      </c>
      <c r="B314" t="s">
        <v>10</v>
      </c>
      <c r="C314">
        <v>2024</v>
      </c>
      <c r="D314" t="s">
        <v>74</v>
      </c>
      <c r="E314">
        <v>5</v>
      </c>
      <c r="F314">
        <v>5</v>
      </c>
      <c r="G314">
        <v>0</v>
      </c>
      <c r="H314">
        <v>10</v>
      </c>
      <c r="I314" t="s">
        <v>12</v>
      </c>
    </row>
    <row r="315" spans="1:9">
      <c r="A315" t="s">
        <v>35</v>
      </c>
      <c r="B315" t="s">
        <v>36</v>
      </c>
      <c r="C315">
        <v>2024</v>
      </c>
      <c r="D315" t="s">
        <v>74</v>
      </c>
      <c r="E315">
        <v>9</v>
      </c>
      <c r="F315">
        <v>19</v>
      </c>
      <c r="G315">
        <v>-10</v>
      </c>
      <c r="H315">
        <v>0</v>
      </c>
      <c r="I315" t="s">
        <v>19</v>
      </c>
    </row>
    <row r="316" spans="1:9">
      <c r="A316" t="s">
        <v>37</v>
      </c>
      <c r="B316" t="s">
        <v>38</v>
      </c>
      <c r="C316">
        <v>2024</v>
      </c>
      <c r="D316" t="s">
        <v>74</v>
      </c>
      <c r="E316">
        <v>11</v>
      </c>
      <c r="F316">
        <v>20</v>
      </c>
      <c r="G316">
        <v>-9</v>
      </c>
      <c r="H316">
        <v>0</v>
      </c>
      <c r="I316" t="s">
        <v>19</v>
      </c>
    </row>
    <row r="317" spans="1:9">
      <c r="A317" t="s">
        <v>39</v>
      </c>
      <c r="B317" t="s">
        <v>21</v>
      </c>
      <c r="C317">
        <v>2024</v>
      </c>
      <c r="D317" t="s">
        <v>74</v>
      </c>
      <c r="E317">
        <v>19</v>
      </c>
      <c r="F317">
        <v>15</v>
      </c>
      <c r="G317">
        <v>4</v>
      </c>
      <c r="H317">
        <v>0</v>
      </c>
      <c r="I317" t="s">
        <v>24</v>
      </c>
    </row>
    <row r="318" spans="1:9">
      <c r="A318" t="s">
        <v>40</v>
      </c>
      <c r="B318" t="s">
        <v>33</v>
      </c>
      <c r="C318">
        <v>2024</v>
      </c>
      <c r="D318" t="s">
        <v>74</v>
      </c>
      <c r="E318">
        <v>17</v>
      </c>
      <c r="F318">
        <v>8</v>
      </c>
      <c r="G318">
        <v>9</v>
      </c>
      <c r="H318">
        <v>4</v>
      </c>
      <c r="I318" t="s">
        <v>12</v>
      </c>
    </row>
    <row r="319" spans="1:9">
      <c r="A319" t="s">
        <v>41</v>
      </c>
      <c r="B319" t="s">
        <v>38</v>
      </c>
      <c r="C319">
        <v>2024</v>
      </c>
      <c r="D319" t="s">
        <v>74</v>
      </c>
      <c r="E319">
        <v>12</v>
      </c>
      <c r="F319">
        <v>16</v>
      </c>
      <c r="G319">
        <v>-4</v>
      </c>
      <c r="H319">
        <v>0</v>
      </c>
      <c r="I319" t="s">
        <v>24</v>
      </c>
    </row>
    <row r="320" spans="1:9">
      <c r="A320" t="s">
        <v>43</v>
      </c>
      <c r="B320" t="s">
        <v>36</v>
      </c>
      <c r="C320">
        <v>2024</v>
      </c>
      <c r="D320" t="s">
        <v>74</v>
      </c>
      <c r="E320">
        <v>16</v>
      </c>
      <c r="F320">
        <v>12</v>
      </c>
      <c r="G320">
        <v>4</v>
      </c>
      <c r="H320">
        <v>0</v>
      </c>
      <c r="I320" t="s">
        <v>24</v>
      </c>
    </row>
    <row r="321" spans="1:9">
      <c r="A321" t="s">
        <v>9</v>
      </c>
      <c r="B321" t="s">
        <v>10</v>
      </c>
      <c r="C321">
        <v>2024</v>
      </c>
      <c r="D321" t="s">
        <v>75</v>
      </c>
      <c r="E321">
        <v>8</v>
      </c>
      <c r="F321">
        <v>6</v>
      </c>
      <c r="G321">
        <v>2</v>
      </c>
      <c r="H321">
        <v>8</v>
      </c>
      <c r="I321" t="s">
        <v>12</v>
      </c>
    </row>
    <row r="322" spans="1:9">
      <c r="A322" t="s">
        <v>13</v>
      </c>
      <c r="B322" t="s">
        <v>14</v>
      </c>
      <c r="C322">
        <v>2024</v>
      </c>
      <c r="D322" t="s">
        <v>75</v>
      </c>
      <c r="E322">
        <v>15</v>
      </c>
      <c r="F322">
        <v>9</v>
      </c>
      <c r="G322">
        <v>6</v>
      </c>
      <c r="H322">
        <v>2</v>
      </c>
      <c r="I322" t="s">
        <v>12</v>
      </c>
    </row>
    <row r="323" spans="1:9">
      <c r="A323" t="s">
        <v>15</v>
      </c>
      <c r="B323" t="s">
        <v>16</v>
      </c>
      <c r="C323">
        <v>2024</v>
      </c>
      <c r="D323" t="s">
        <v>75</v>
      </c>
      <c r="E323">
        <v>9</v>
      </c>
      <c r="F323">
        <v>11</v>
      </c>
      <c r="G323">
        <v>-2</v>
      </c>
      <c r="H323">
        <v>0</v>
      </c>
      <c r="I323" t="s">
        <v>12</v>
      </c>
    </row>
    <row r="324" spans="1:9">
      <c r="A324" t="s">
        <v>17</v>
      </c>
      <c r="B324" t="s">
        <v>18</v>
      </c>
      <c r="C324">
        <v>2024</v>
      </c>
      <c r="D324" t="s">
        <v>75</v>
      </c>
      <c r="E324">
        <v>4</v>
      </c>
      <c r="F324">
        <v>4</v>
      </c>
      <c r="G324">
        <v>0</v>
      </c>
      <c r="H324">
        <v>12</v>
      </c>
      <c r="I324" t="s">
        <v>12</v>
      </c>
    </row>
    <row r="325" spans="1:9">
      <c r="A325" t="s">
        <v>46</v>
      </c>
      <c r="B325" t="s">
        <v>38</v>
      </c>
      <c r="C325">
        <v>2024</v>
      </c>
      <c r="D325" t="s">
        <v>75</v>
      </c>
      <c r="E325">
        <v>20</v>
      </c>
      <c r="F325">
        <v>15</v>
      </c>
      <c r="G325">
        <v>5</v>
      </c>
      <c r="H325">
        <v>0</v>
      </c>
      <c r="I325" t="s">
        <v>12</v>
      </c>
    </row>
    <row r="326" spans="1:9">
      <c r="A326" t="s">
        <v>20</v>
      </c>
      <c r="B326" t="s">
        <v>21</v>
      </c>
      <c r="C326">
        <v>2024</v>
      </c>
      <c r="D326" t="s">
        <v>75</v>
      </c>
      <c r="E326">
        <v>16</v>
      </c>
      <c r="F326">
        <v>16</v>
      </c>
      <c r="G326">
        <v>0</v>
      </c>
      <c r="H326">
        <v>0</v>
      </c>
      <c r="I326" t="s">
        <v>12</v>
      </c>
    </row>
    <row r="327" spans="1:9">
      <c r="A327" t="s">
        <v>23</v>
      </c>
      <c r="B327" t="s">
        <v>16</v>
      </c>
      <c r="C327">
        <v>2024</v>
      </c>
      <c r="D327" t="s">
        <v>75</v>
      </c>
      <c r="E327">
        <v>18</v>
      </c>
      <c r="F327">
        <v>19</v>
      </c>
      <c r="G327">
        <v>-1</v>
      </c>
      <c r="H327">
        <v>0</v>
      </c>
      <c r="I327" t="s">
        <v>12</v>
      </c>
    </row>
    <row r="328" spans="1:9">
      <c r="A328" t="s">
        <v>25</v>
      </c>
      <c r="B328" t="s">
        <v>18</v>
      </c>
      <c r="C328">
        <v>2024</v>
      </c>
      <c r="D328" t="s">
        <v>75</v>
      </c>
      <c r="E328">
        <v>1</v>
      </c>
      <c r="F328">
        <v>2</v>
      </c>
      <c r="G328">
        <v>-1</v>
      </c>
      <c r="H328">
        <v>18</v>
      </c>
      <c r="I328" t="s">
        <v>12</v>
      </c>
    </row>
    <row r="329" spans="1:9">
      <c r="A329" t="s">
        <v>26</v>
      </c>
      <c r="B329" t="s">
        <v>27</v>
      </c>
      <c r="C329">
        <v>2024</v>
      </c>
      <c r="D329" t="s">
        <v>75</v>
      </c>
      <c r="E329">
        <v>3</v>
      </c>
      <c r="F329">
        <v>5</v>
      </c>
      <c r="G329">
        <v>-2</v>
      </c>
      <c r="H329">
        <v>10</v>
      </c>
      <c r="I329" t="s">
        <v>12</v>
      </c>
    </row>
    <row r="330" spans="1:9">
      <c r="A330" t="s">
        <v>48</v>
      </c>
      <c r="B330" t="s">
        <v>30</v>
      </c>
      <c r="C330">
        <v>2024</v>
      </c>
      <c r="D330" t="s">
        <v>75</v>
      </c>
      <c r="E330">
        <v>13</v>
      </c>
      <c r="F330">
        <v>10</v>
      </c>
      <c r="G330">
        <v>3</v>
      </c>
      <c r="H330">
        <v>1</v>
      </c>
      <c r="I330" t="s">
        <v>12</v>
      </c>
    </row>
    <row r="331" spans="1:9">
      <c r="A331" t="s">
        <v>28</v>
      </c>
      <c r="B331" t="s">
        <v>14</v>
      </c>
      <c r="C331">
        <v>2024</v>
      </c>
      <c r="D331" t="s">
        <v>75</v>
      </c>
      <c r="E331">
        <v>11</v>
      </c>
      <c r="F331">
        <v>17</v>
      </c>
      <c r="G331">
        <v>-6</v>
      </c>
      <c r="H331">
        <v>0</v>
      </c>
      <c r="I331" t="s">
        <v>12</v>
      </c>
    </row>
    <row r="332" spans="1:9">
      <c r="A332" t="s">
        <v>29</v>
      </c>
      <c r="B332" t="s">
        <v>30</v>
      </c>
      <c r="C332">
        <v>2024</v>
      </c>
      <c r="D332" t="s">
        <v>75</v>
      </c>
      <c r="E332">
        <v>12</v>
      </c>
      <c r="F332">
        <v>12</v>
      </c>
      <c r="G332">
        <v>0</v>
      </c>
      <c r="H332">
        <v>0</v>
      </c>
      <c r="I332" t="s">
        <v>12</v>
      </c>
    </row>
    <row r="333" spans="1:9">
      <c r="A333" t="s">
        <v>31</v>
      </c>
      <c r="B333" t="s">
        <v>27</v>
      </c>
      <c r="C333">
        <v>2024</v>
      </c>
      <c r="D333" t="s">
        <v>75</v>
      </c>
      <c r="E333">
        <v>2</v>
      </c>
      <c r="F333">
        <v>3</v>
      </c>
      <c r="G333">
        <v>-1</v>
      </c>
      <c r="H333">
        <v>15</v>
      </c>
      <c r="I333" t="s">
        <v>12</v>
      </c>
    </row>
    <row r="334" spans="1:9">
      <c r="A334" t="s">
        <v>32</v>
      </c>
      <c r="B334" t="s">
        <v>33</v>
      </c>
      <c r="C334">
        <v>2024</v>
      </c>
      <c r="D334" t="s">
        <v>75</v>
      </c>
      <c r="E334">
        <v>5</v>
      </c>
      <c r="F334">
        <v>1</v>
      </c>
      <c r="G334">
        <v>4</v>
      </c>
      <c r="H334">
        <v>25</v>
      </c>
      <c r="I334" t="s">
        <v>12</v>
      </c>
    </row>
    <row r="335" spans="1:9">
      <c r="A335" t="s">
        <v>34</v>
      </c>
      <c r="B335" t="s">
        <v>10</v>
      </c>
      <c r="C335">
        <v>2024</v>
      </c>
      <c r="D335" t="s">
        <v>75</v>
      </c>
      <c r="E335">
        <v>7</v>
      </c>
      <c r="F335">
        <v>8</v>
      </c>
      <c r="G335">
        <v>-1</v>
      </c>
      <c r="H335">
        <v>4</v>
      </c>
      <c r="I335" t="s">
        <v>12</v>
      </c>
    </row>
    <row r="336" spans="1:9">
      <c r="A336" t="s">
        <v>35</v>
      </c>
      <c r="B336" t="s">
        <v>36</v>
      </c>
      <c r="C336">
        <v>2024</v>
      </c>
      <c r="D336" t="s">
        <v>75</v>
      </c>
      <c r="E336">
        <v>14</v>
      </c>
      <c r="F336">
        <v>18</v>
      </c>
      <c r="G336">
        <v>-4</v>
      </c>
      <c r="H336">
        <v>0</v>
      </c>
      <c r="I336" t="s">
        <v>12</v>
      </c>
    </row>
    <row r="337" spans="1:9">
      <c r="A337" t="s">
        <v>37</v>
      </c>
      <c r="B337" t="s">
        <v>38</v>
      </c>
      <c r="C337">
        <v>2024</v>
      </c>
      <c r="D337" t="s">
        <v>75</v>
      </c>
      <c r="E337">
        <v>10</v>
      </c>
      <c r="F337">
        <v>7</v>
      </c>
      <c r="G337">
        <v>3</v>
      </c>
      <c r="H337">
        <v>6</v>
      </c>
      <c r="I337" t="s">
        <v>12</v>
      </c>
    </row>
    <row r="338" spans="1:9">
      <c r="A338" t="s">
        <v>39</v>
      </c>
      <c r="B338" t="s">
        <v>21</v>
      </c>
      <c r="C338">
        <v>2024</v>
      </c>
      <c r="D338" t="s">
        <v>75</v>
      </c>
      <c r="E338">
        <v>19</v>
      </c>
      <c r="F338">
        <v>14</v>
      </c>
      <c r="G338">
        <v>5</v>
      </c>
      <c r="H338">
        <v>0</v>
      </c>
      <c r="I338" t="s">
        <v>12</v>
      </c>
    </row>
    <row r="339" spans="1:9">
      <c r="A339" t="s">
        <v>40</v>
      </c>
      <c r="B339" t="s">
        <v>33</v>
      </c>
      <c r="C339">
        <v>2024</v>
      </c>
      <c r="D339" t="s">
        <v>75</v>
      </c>
      <c r="E339">
        <v>6</v>
      </c>
      <c r="F339">
        <v>13</v>
      </c>
      <c r="G339">
        <v>-7</v>
      </c>
      <c r="H339">
        <v>0</v>
      </c>
      <c r="I339" t="s">
        <v>12</v>
      </c>
    </row>
    <row r="340" spans="1:9">
      <c r="A340" t="s">
        <v>52</v>
      </c>
      <c r="B340" t="s">
        <v>36</v>
      </c>
      <c r="C340">
        <v>2024</v>
      </c>
      <c r="D340" t="s">
        <v>75</v>
      </c>
      <c r="E340">
        <v>17</v>
      </c>
      <c r="F340">
        <v>20</v>
      </c>
      <c r="G340">
        <v>-3</v>
      </c>
      <c r="H340">
        <v>0</v>
      </c>
      <c r="I340" t="s">
        <v>19</v>
      </c>
    </row>
    <row r="341" spans="1:9">
      <c r="A341" t="s">
        <v>9</v>
      </c>
      <c r="B341" t="s">
        <v>10</v>
      </c>
      <c r="C341">
        <v>2024</v>
      </c>
      <c r="D341" t="s">
        <v>76</v>
      </c>
      <c r="E341">
        <v>7</v>
      </c>
      <c r="F341">
        <v>7</v>
      </c>
      <c r="G341">
        <v>0</v>
      </c>
      <c r="H341">
        <v>7</v>
      </c>
      <c r="I341" t="s">
        <v>12</v>
      </c>
    </row>
    <row r="342" spans="1:9">
      <c r="A342" t="s">
        <v>13</v>
      </c>
      <c r="B342" t="s">
        <v>14</v>
      </c>
      <c r="C342">
        <v>2024</v>
      </c>
      <c r="D342" t="s">
        <v>76</v>
      </c>
      <c r="E342">
        <v>14</v>
      </c>
      <c r="F342">
        <v>11</v>
      </c>
      <c r="G342">
        <v>3</v>
      </c>
      <c r="H342">
        <v>0</v>
      </c>
      <c r="I342" t="s">
        <v>53</v>
      </c>
    </row>
    <row r="343" spans="1:9">
      <c r="A343" t="s">
        <v>15</v>
      </c>
      <c r="B343" t="s">
        <v>16</v>
      </c>
      <c r="C343">
        <v>2024</v>
      </c>
      <c r="D343" t="s">
        <v>76</v>
      </c>
      <c r="E343">
        <v>19</v>
      </c>
      <c r="F343">
        <v>19</v>
      </c>
      <c r="G343">
        <v>0</v>
      </c>
      <c r="H343">
        <v>0</v>
      </c>
      <c r="I343" t="s">
        <v>19</v>
      </c>
    </row>
    <row r="344" spans="1:9">
      <c r="A344" t="s">
        <v>17</v>
      </c>
      <c r="B344" t="s">
        <v>18</v>
      </c>
      <c r="C344">
        <v>2024</v>
      </c>
      <c r="D344" t="s">
        <v>76</v>
      </c>
      <c r="E344">
        <v>16</v>
      </c>
      <c r="F344">
        <v>18</v>
      </c>
      <c r="G344">
        <v>-2</v>
      </c>
      <c r="H344">
        <v>0</v>
      </c>
      <c r="I344" t="s">
        <v>19</v>
      </c>
    </row>
    <row r="345" spans="1:9">
      <c r="A345" t="s">
        <v>46</v>
      </c>
      <c r="B345" t="s">
        <v>38</v>
      </c>
      <c r="C345">
        <v>2024</v>
      </c>
      <c r="D345" t="s">
        <v>76</v>
      </c>
      <c r="E345">
        <v>12</v>
      </c>
      <c r="F345">
        <v>12</v>
      </c>
      <c r="G345">
        <v>0</v>
      </c>
      <c r="H345">
        <v>0</v>
      </c>
      <c r="I345" t="s">
        <v>53</v>
      </c>
    </row>
    <row r="346" spans="1:9">
      <c r="A346" t="s">
        <v>20</v>
      </c>
      <c r="B346" t="s">
        <v>21</v>
      </c>
      <c r="C346">
        <v>2024</v>
      </c>
      <c r="D346" t="s">
        <v>76</v>
      </c>
      <c r="E346">
        <v>17</v>
      </c>
      <c r="F346">
        <v>13</v>
      </c>
      <c r="G346">
        <v>4</v>
      </c>
      <c r="H346">
        <v>0</v>
      </c>
      <c r="I346" t="s">
        <v>53</v>
      </c>
    </row>
    <row r="347" spans="1:9">
      <c r="A347" t="s">
        <v>23</v>
      </c>
      <c r="B347" t="s">
        <v>16</v>
      </c>
      <c r="C347">
        <v>2024</v>
      </c>
      <c r="D347" t="s">
        <v>76</v>
      </c>
      <c r="E347">
        <v>20</v>
      </c>
      <c r="F347">
        <v>20</v>
      </c>
      <c r="G347">
        <v>0</v>
      </c>
      <c r="H347">
        <v>0</v>
      </c>
      <c r="I347" t="s">
        <v>19</v>
      </c>
    </row>
    <row r="348" spans="1:9">
      <c r="A348" t="s">
        <v>25</v>
      </c>
      <c r="B348" t="s">
        <v>18</v>
      </c>
      <c r="C348">
        <v>2024</v>
      </c>
      <c r="D348" t="s">
        <v>76</v>
      </c>
      <c r="E348">
        <v>6</v>
      </c>
      <c r="F348">
        <v>6</v>
      </c>
      <c r="G348">
        <v>0</v>
      </c>
      <c r="H348">
        <v>8</v>
      </c>
      <c r="I348" t="s">
        <v>12</v>
      </c>
    </row>
    <row r="349" spans="1:9">
      <c r="A349" t="s">
        <v>26</v>
      </c>
      <c r="B349" t="s">
        <v>27</v>
      </c>
      <c r="C349">
        <v>2024</v>
      </c>
      <c r="D349" t="s">
        <v>76</v>
      </c>
      <c r="E349">
        <v>3</v>
      </c>
      <c r="F349">
        <v>3</v>
      </c>
      <c r="G349">
        <v>0</v>
      </c>
      <c r="H349">
        <v>15</v>
      </c>
      <c r="I349" t="s">
        <v>12</v>
      </c>
    </row>
    <row r="350" spans="1:9">
      <c r="A350" t="s">
        <v>48</v>
      </c>
      <c r="B350" t="s">
        <v>30</v>
      </c>
      <c r="C350">
        <v>2024</v>
      </c>
      <c r="D350" t="s">
        <v>76</v>
      </c>
      <c r="E350">
        <v>11</v>
      </c>
      <c r="F350">
        <v>17</v>
      </c>
      <c r="G350">
        <v>-6</v>
      </c>
      <c r="H350">
        <v>0</v>
      </c>
      <c r="I350" t="s">
        <v>19</v>
      </c>
    </row>
    <row r="351" spans="1:9">
      <c r="A351" t="s">
        <v>28</v>
      </c>
      <c r="B351" t="s">
        <v>14</v>
      </c>
      <c r="C351">
        <v>2024</v>
      </c>
      <c r="D351" t="s">
        <v>76</v>
      </c>
      <c r="E351">
        <v>13</v>
      </c>
      <c r="F351">
        <v>14</v>
      </c>
      <c r="G351">
        <v>-1</v>
      </c>
      <c r="H351">
        <v>0</v>
      </c>
      <c r="I351" t="s">
        <v>53</v>
      </c>
    </row>
    <row r="352" spans="1:9">
      <c r="A352" t="s">
        <v>29</v>
      </c>
      <c r="B352" t="s">
        <v>30</v>
      </c>
      <c r="C352">
        <v>2024</v>
      </c>
      <c r="D352" t="s">
        <v>76</v>
      </c>
      <c r="E352">
        <v>10</v>
      </c>
      <c r="F352">
        <v>10</v>
      </c>
      <c r="G352">
        <v>0</v>
      </c>
      <c r="H352">
        <v>1</v>
      </c>
      <c r="I352" t="s">
        <v>24</v>
      </c>
    </row>
    <row r="353" spans="1:9">
      <c r="A353" t="s">
        <v>31</v>
      </c>
      <c r="B353" t="s">
        <v>27</v>
      </c>
      <c r="C353">
        <v>2024</v>
      </c>
      <c r="D353" t="s">
        <v>76</v>
      </c>
      <c r="E353">
        <v>1</v>
      </c>
      <c r="F353">
        <v>1</v>
      </c>
      <c r="G353">
        <v>0</v>
      </c>
      <c r="H353">
        <v>25</v>
      </c>
      <c r="I353" t="s">
        <v>12</v>
      </c>
    </row>
    <row r="354" spans="1:9">
      <c r="A354" t="s">
        <v>32</v>
      </c>
      <c r="B354" t="s">
        <v>33</v>
      </c>
      <c r="C354">
        <v>2024</v>
      </c>
      <c r="D354" t="s">
        <v>76</v>
      </c>
      <c r="E354">
        <v>4</v>
      </c>
      <c r="F354">
        <v>4</v>
      </c>
      <c r="G354">
        <v>0</v>
      </c>
      <c r="H354">
        <v>12</v>
      </c>
      <c r="I354" t="s">
        <v>12</v>
      </c>
    </row>
    <row r="355" spans="1:9">
      <c r="A355" t="s">
        <v>34</v>
      </c>
      <c r="B355" t="s">
        <v>10</v>
      </c>
      <c r="C355">
        <v>2024</v>
      </c>
      <c r="D355" t="s">
        <v>76</v>
      </c>
      <c r="E355">
        <v>5</v>
      </c>
      <c r="F355">
        <v>5</v>
      </c>
      <c r="G355">
        <v>0</v>
      </c>
      <c r="H355">
        <v>10</v>
      </c>
      <c r="I355" t="s">
        <v>12</v>
      </c>
    </row>
    <row r="356" spans="1:9">
      <c r="A356" t="s">
        <v>35</v>
      </c>
      <c r="B356" t="s">
        <v>36</v>
      </c>
      <c r="C356">
        <v>2024</v>
      </c>
      <c r="D356" t="s">
        <v>76</v>
      </c>
      <c r="E356">
        <v>9</v>
      </c>
      <c r="F356">
        <v>9</v>
      </c>
      <c r="G356">
        <v>0</v>
      </c>
      <c r="H356">
        <v>2</v>
      </c>
      <c r="I356" t="s">
        <v>24</v>
      </c>
    </row>
    <row r="357" spans="1:9">
      <c r="A357" t="s">
        <v>37</v>
      </c>
      <c r="B357" t="s">
        <v>38</v>
      </c>
      <c r="C357">
        <v>2024</v>
      </c>
      <c r="D357" t="s">
        <v>76</v>
      </c>
      <c r="E357">
        <v>8</v>
      </c>
      <c r="F357">
        <v>8</v>
      </c>
      <c r="G357">
        <v>0</v>
      </c>
      <c r="H357">
        <v>4</v>
      </c>
      <c r="I357" t="s">
        <v>24</v>
      </c>
    </row>
    <row r="358" spans="1:9">
      <c r="A358" t="s">
        <v>39</v>
      </c>
      <c r="B358" t="s">
        <v>21</v>
      </c>
      <c r="C358">
        <v>2024</v>
      </c>
      <c r="D358" t="s">
        <v>76</v>
      </c>
      <c r="E358">
        <v>18</v>
      </c>
      <c r="F358">
        <v>16</v>
      </c>
      <c r="G358">
        <v>2</v>
      </c>
      <c r="H358">
        <v>0</v>
      </c>
      <c r="I358" t="s">
        <v>53</v>
      </c>
    </row>
    <row r="359" spans="1:9">
      <c r="A359" t="s">
        <v>40</v>
      </c>
      <c r="B359" t="s">
        <v>33</v>
      </c>
      <c r="C359">
        <v>2024</v>
      </c>
      <c r="D359" t="s">
        <v>76</v>
      </c>
      <c r="E359">
        <v>2</v>
      </c>
      <c r="F359">
        <v>2</v>
      </c>
      <c r="G359">
        <v>0</v>
      </c>
      <c r="H359">
        <v>18</v>
      </c>
      <c r="I359" t="s">
        <v>12</v>
      </c>
    </row>
    <row r="360" spans="1:9">
      <c r="A360" t="s">
        <v>52</v>
      </c>
      <c r="B360" t="s">
        <v>36</v>
      </c>
      <c r="C360">
        <v>2024</v>
      </c>
      <c r="D360" t="s">
        <v>76</v>
      </c>
      <c r="E360">
        <v>15</v>
      </c>
      <c r="F360">
        <v>15</v>
      </c>
      <c r="G360">
        <v>0</v>
      </c>
      <c r="H360">
        <v>0</v>
      </c>
      <c r="I360" t="s">
        <v>53</v>
      </c>
    </row>
    <row r="361" spans="1:9">
      <c r="A361" t="s">
        <v>9</v>
      </c>
      <c r="B361" t="s">
        <v>10</v>
      </c>
      <c r="C361">
        <v>2024</v>
      </c>
      <c r="D361" t="s">
        <v>77</v>
      </c>
      <c r="E361">
        <v>6</v>
      </c>
      <c r="F361">
        <v>12</v>
      </c>
      <c r="G361">
        <v>-6</v>
      </c>
      <c r="H361">
        <v>0</v>
      </c>
      <c r="I361" t="s">
        <v>12</v>
      </c>
    </row>
    <row r="362" spans="1:9">
      <c r="A362" t="s">
        <v>13</v>
      </c>
      <c r="B362" t="s">
        <v>14</v>
      </c>
      <c r="C362">
        <v>2024</v>
      </c>
      <c r="D362" t="s">
        <v>77</v>
      </c>
      <c r="E362">
        <v>8</v>
      </c>
      <c r="F362">
        <v>7</v>
      </c>
      <c r="G362">
        <v>1</v>
      </c>
      <c r="H362">
        <v>6</v>
      </c>
      <c r="I362" t="s">
        <v>12</v>
      </c>
    </row>
    <row r="363" spans="1:9">
      <c r="A363" t="s">
        <v>15</v>
      </c>
      <c r="B363" t="s">
        <v>16</v>
      </c>
      <c r="C363">
        <v>2024</v>
      </c>
      <c r="D363" t="s">
        <v>77</v>
      </c>
      <c r="E363">
        <v>18</v>
      </c>
      <c r="F363">
        <v>16</v>
      </c>
      <c r="G363">
        <v>2</v>
      </c>
      <c r="H363">
        <v>0</v>
      </c>
      <c r="I363" t="s">
        <v>78</v>
      </c>
    </row>
    <row r="364" spans="1:9">
      <c r="A364" t="s">
        <v>17</v>
      </c>
      <c r="B364" t="s">
        <v>18</v>
      </c>
      <c r="C364">
        <v>2024</v>
      </c>
      <c r="D364" t="s">
        <v>77</v>
      </c>
      <c r="E364">
        <v>9</v>
      </c>
      <c r="F364">
        <v>17</v>
      </c>
      <c r="G364">
        <v>-8</v>
      </c>
      <c r="H364">
        <v>0</v>
      </c>
      <c r="I364" t="s">
        <v>78</v>
      </c>
    </row>
    <row r="365" spans="1:9">
      <c r="A365" t="s">
        <v>20</v>
      </c>
      <c r="B365" t="s">
        <v>21</v>
      </c>
      <c r="C365">
        <v>2024</v>
      </c>
      <c r="D365" t="s">
        <v>77</v>
      </c>
      <c r="E365">
        <v>13</v>
      </c>
      <c r="F365">
        <v>11</v>
      </c>
      <c r="G365">
        <v>2</v>
      </c>
      <c r="H365">
        <v>0</v>
      </c>
      <c r="I365" t="s">
        <v>12</v>
      </c>
    </row>
    <row r="366" spans="1:9">
      <c r="A366" t="s">
        <v>23</v>
      </c>
      <c r="B366" t="s">
        <v>16</v>
      </c>
      <c r="C366">
        <v>2024</v>
      </c>
      <c r="D366" t="s">
        <v>77</v>
      </c>
      <c r="E366">
        <v>10</v>
      </c>
      <c r="F366">
        <v>9</v>
      </c>
      <c r="G366">
        <v>1</v>
      </c>
      <c r="H366">
        <v>2</v>
      </c>
      <c r="I366" t="s">
        <v>12</v>
      </c>
    </row>
    <row r="367" spans="1:9">
      <c r="A367" t="s">
        <v>25</v>
      </c>
      <c r="B367" t="s">
        <v>18</v>
      </c>
      <c r="C367">
        <v>2024</v>
      </c>
      <c r="D367" t="s">
        <v>77</v>
      </c>
      <c r="E367">
        <v>2</v>
      </c>
      <c r="F367">
        <v>1</v>
      </c>
      <c r="G367">
        <v>1</v>
      </c>
      <c r="H367">
        <v>25</v>
      </c>
      <c r="I367" t="s">
        <v>12</v>
      </c>
    </row>
    <row r="368" spans="1:9">
      <c r="A368" t="s">
        <v>26</v>
      </c>
      <c r="B368" t="s">
        <v>27</v>
      </c>
      <c r="C368">
        <v>2024</v>
      </c>
      <c r="D368" t="s">
        <v>77</v>
      </c>
      <c r="E368">
        <v>7</v>
      </c>
      <c r="F368">
        <v>6</v>
      </c>
      <c r="G368">
        <v>1</v>
      </c>
      <c r="H368">
        <v>8</v>
      </c>
      <c r="I368" t="s">
        <v>12</v>
      </c>
    </row>
    <row r="369" spans="1:9">
      <c r="A369" t="s">
        <v>48</v>
      </c>
      <c r="B369" t="s">
        <v>30</v>
      </c>
      <c r="C369">
        <v>2024</v>
      </c>
      <c r="D369" t="s">
        <v>77</v>
      </c>
      <c r="E369">
        <v>20</v>
      </c>
      <c r="F369">
        <v>20</v>
      </c>
      <c r="G369">
        <v>0</v>
      </c>
      <c r="H369">
        <v>0</v>
      </c>
      <c r="I369" t="s">
        <v>19</v>
      </c>
    </row>
    <row r="370" spans="1:9">
      <c r="A370" t="s">
        <v>28</v>
      </c>
      <c r="B370" t="s">
        <v>14</v>
      </c>
      <c r="C370">
        <v>2024</v>
      </c>
      <c r="D370" t="s">
        <v>77</v>
      </c>
      <c r="E370">
        <v>15</v>
      </c>
      <c r="F370">
        <v>18</v>
      </c>
      <c r="G370">
        <v>-3</v>
      </c>
      <c r="H370">
        <v>0</v>
      </c>
      <c r="I370" t="s">
        <v>22</v>
      </c>
    </row>
    <row r="371" spans="1:9">
      <c r="A371" t="s">
        <v>29</v>
      </c>
      <c r="B371" t="s">
        <v>30</v>
      </c>
      <c r="C371">
        <v>2024</v>
      </c>
      <c r="D371" t="s">
        <v>77</v>
      </c>
      <c r="E371">
        <v>11</v>
      </c>
      <c r="F371">
        <v>5</v>
      </c>
      <c r="G371">
        <v>6</v>
      </c>
      <c r="H371">
        <v>10</v>
      </c>
      <c r="I371" t="s">
        <v>12</v>
      </c>
    </row>
    <row r="372" spans="1:9">
      <c r="A372" t="s">
        <v>31</v>
      </c>
      <c r="B372" t="s">
        <v>27</v>
      </c>
      <c r="C372">
        <v>2024</v>
      </c>
      <c r="D372" t="s">
        <v>77</v>
      </c>
      <c r="E372">
        <v>5</v>
      </c>
      <c r="F372">
        <v>2</v>
      </c>
      <c r="G372">
        <v>3</v>
      </c>
      <c r="H372">
        <v>18</v>
      </c>
      <c r="I372" t="s">
        <v>12</v>
      </c>
    </row>
    <row r="373" spans="1:9">
      <c r="A373" t="s">
        <v>32</v>
      </c>
      <c r="B373" t="s">
        <v>33</v>
      </c>
      <c r="C373">
        <v>2024</v>
      </c>
      <c r="D373" t="s">
        <v>77</v>
      </c>
      <c r="E373">
        <v>3</v>
      </c>
      <c r="F373">
        <v>10</v>
      </c>
      <c r="G373">
        <v>-7</v>
      </c>
      <c r="H373">
        <v>2</v>
      </c>
      <c r="I373" t="s">
        <v>12</v>
      </c>
    </row>
    <row r="374" spans="1:9">
      <c r="A374" t="s">
        <v>34</v>
      </c>
      <c r="B374" t="s">
        <v>10</v>
      </c>
      <c r="C374">
        <v>2024</v>
      </c>
      <c r="D374" t="s">
        <v>77</v>
      </c>
      <c r="E374">
        <v>1</v>
      </c>
      <c r="F374">
        <v>4</v>
      </c>
      <c r="G374">
        <v>-3</v>
      </c>
      <c r="H374">
        <v>12</v>
      </c>
      <c r="I374" t="s">
        <v>12</v>
      </c>
    </row>
    <row r="375" spans="1:9">
      <c r="A375" t="s">
        <v>35</v>
      </c>
      <c r="B375" t="s">
        <v>36</v>
      </c>
      <c r="C375">
        <v>2024</v>
      </c>
      <c r="D375" t="s">
        <v>77</v>
      </c>
      <c r="E375">
        <v>16</v>
      </c>
      <c r="F375">
        <v>15</v>
      </c>
      <c r="G375">
        <v>1</v>
      </c>
      <c r="H375">
        <v>0</v>
      </c>
      <c r="I375" t="s">
        <v>24</v>
      </c>
    </row>
    <row r="376" spans="1:9">
      <c r="A376" t="s">
        <v>37</v>
      </c>
      <c r="B376" t="s">
        <v>38</v>
      </c>
      <c r="C376">
        <v>2024</v>
      </c>
      <c r="D376" t="s">
        <v>77</v>
      </c>
      <c r="E376">
        <v>14</v>
      </c>
      <c r="F376">
        <v>13</v>
      </c>
      <c r="G376">
        <v>1</v>
      </c>
      <c r="H376">
        <v>0</v>
      </c>
      <c r="I376" t="s">
        <v>12</v>
      </c>
    </row>
    <row r="377" spans="1:9">
      <c r="A377" t="s">
        <v>39</v>
      </c>
      <c r="B377" t="s">
        <v>21</v>
      </c>
      <c r="C377">
        <v>2024</v>
      </c>
      <c r="D377" t="s">
        <v>77</v>
      </c>
      <c r="E377">
        <v>12</v>
      </c>
      <c r="F377">
        <v>8</v>
      </c>
      <c r="G377">
        <v>4</v>
      </c>
      <c r="H377">
        <v>4</v>
      </c>
      <c r="I377" t="s">
        <v>12</v>
      </c>
    </row>
    <row r="378" spans="1:9">
      <c r="A378" t="s">
        <v>40</v>
      </c>
      <c r="B378" t="s">
        <v>33</v>
      </c>
      <c r="C378">
        <v>2024</v>
      </c>
      <c r="D378" t="s">
        <v>77</v>
      </c>
      <c r="E378">
        <v>4</v>
      </c>
      <c r="F378">
        <v>3</v>
      </c>
      <c r="G378">
        <v>1</v>
      </c>
      <c r="H378">
        <v>15</v>
      </c>
      <c r="I378" t="s">
        <v>12</v>
      </c>
    </row>
    <row r="379" spans="1:9">
      <c r="A379" t="s">
        <v>41</v>
      </c>
      <c r="B379" t="s">
        <v>38</v>
      </c>
      <c r="C379">
        <v>2024</v>
      </c>
      <c r="D379" t="s">
        <v>77</v>
      </c>
      <c r="E379">
        <v>17</v>
      </c>
      <c r="F379">
        <v>14</v>
      </c>
      <c r="G379">
        <v>3</v>
      </c>
      <c r="H379">
        <v>0</v>
      </c>
      <c r="I379" t="s">
        <v>12</v>
      </c>
    </row>
    <row r="380" spans="1:9">
      <c r="A380" t="s">
        <v>43</v>
      </c>
      <c r="B380" t="s">
        <v>36</v>
      </c>
      <c r="C380">
        <v>2024</v>
      </c>
      <c r="D380" t="s">
        <v>77</v>
      </c>
      <c r="E380">
        <v>19</v>
      </c>
      <c r="F380">
        <v>19</v>
      </c>
      <c r="G380">
        <v>0</v>
      </c>
      <c r="H380">
        <v>0</v>
      </c>
      <c r="I380" t="s">
        <v>19</v>
      </c>
    </row>
    <row r="381" spans="1:9">
      <c r="A381" t="s">
        <v>9</v>
      </c>
      <c r="B381" t="s">
        <v>10</v>
      </c>
      <c r="C381">
        <v>2024</v>
      </c>
      <c r="D381" t="s">
        <v>79</v>
      </c>
      <c r="E381">
        <v>8</v>
      </c>
      <c r="F381">
        <v>9</v>
      </c>
      <c r="G381">
        <v>-1</v>
      </c>
      <c r="H381">
        <v>2</v>
      </c>
      <c r="I381" t="s">
        <v>12</v>
      </c>
    </row>
    <row r="382" spans="1:9">
      <c r="A382" t="s">
        <v>13</v>
      </c>
      <c r="B382" t="s">
        <v>14</v>
      </c>
      <c r="C382">
        <v>2024</v>
      </c>
      <c r="D382" t="s">
        <v>79</v>
      </c>
      <c r="E382">
        <v>4</v>
      </c>
      <c r="F382">
        <v>5</v>
      </c>
      <c r="G382">
        <v>-1</v>
      </c>
      <c r="H382">
        <v>10</v>
      </c>
      <c r="I382" t="s">
        <v>12</v>
      </c>
    </row>
    <row r="383" spans="1:9">
      <c r="A383" t="s">
        <v>15</v>
      </c>
      <c r="B383" t="s">
        <v>16</v>
      </c>
      <c r="C383">
        <v>2024</v>
      </c>
      <c r="D383" t="s">
        <v>79</v>
      </c>
      <c r="E383">
        <v>15</v>
      </c>
      <c r="F383">
        <v>10</v>
      </c>
      <c r="G383">
        <v>5</v>
      </c>
      <c r="H383">
        <v>1</v>
      </c>
      <c r="I383" t="s">
        <v>12</v>
      </c>
    </row>
    <row r="384" spans="1:9">
      <c r="A384" t="s">
        <v>17</v>
      </c>
      <c r="B384" t="s">
        <v>18</v>
      </c>
      <c r="C384">
        <v>2024</v>
      </c>
      <c r="D384" t="s">
        <v>79</v>
      </c>
      <c r="E384">
        <v>3</v>
      </c>
      <c r="F384">
        <v>2</v>
      </c>
      <c r="G384">
        <v>1</v>
      </c>
      <c r="H384">
        <v>18</v>
      </c>
      <c r="I384" t="s">
        <v>12</v>
      </c>
    </row>
    <row r="385" spans="1:9">
      <c r="A385" t="s">
        <v>46</v>
      </c>
      <c r="B385" t="s">
        <v>38</v>
      </c>
      <c r="C385">
        <v>2024</v>
      </c>
      <c r="D385" t="s">
        <v>79</v>
      </c>
      <c r="E385">
        <v>14</v>
      </c>
      <c r="F385">
        <v>16</v>
      </c>
      <c r="G385">
        <v>-2</v>
      </c>
      <c r="H385">
        <v>0</v>
      </c>
      <c r="I385" t="s">
        <v>24</v>
      </c>
    </row>
    <row r="386" spans="1:9">
      <c r="A386" t="s">
        <v>20</v>
      </c>
      <c r="B386" t="s">
        <v>21</v>
      </c>
      <c r="C386">
        <v>2024</v>
      </c>
      <c r="D386" t="s">
        <v>79</v>
      </c>
      <c r="E386">
        <v>16</v>
      </c>
      <c r="F386">
        <v>17</v>
      </c>
      <c r="G386">
        <v>-1</v>
      </c>
      <c r="H386">
        <v>0</v>
      </c>
      <c r="I386" t="s">
        <v>24</v>
      </c>
    </row>
    <row r="387" spans="1:9">
      <c r="A387" t="s">
        <v>23</v>
      </c>
      <c r="B387" t="s">
        <v>16</v>
      </c>
      <c r="C387">
        <v>2024</v>
      </c>
      <c r="D387" t="s">
        <v>79</v>
      </c>
      <c r="E387">
        <v>13</v>
      </c>
      <c r="F387">
        <v>12</v>
      </c>
      <c r="G387">
        <v>1</v>
      </c>
      <c r="H387">
        <v>0</v>
      </c>
      <c r="I387" t="s">
        <v>12</v>
      </c>
    </row>
    <row r="388" spans="1:9">
      <c r="A388" t="s">
        <v>25</v>
      </c>
      <c r="B388" t="s">
        <v>18</v>
      </c>
      <c r="C388">
        <v>2024</v>
      </c>
      <c r="D388" t="s">
        <v>79</v>
      </c>
      <c r="E388">
        <v>1</v>
      </c>
      <c r="F388">
        <v>1</v>
      </c>
      <c r="G388">
        <v>0</v>
      </c>
      <c r="H388">
        <v>25</v>
      </c>
      <c r="I388" t="s">
        <v>12</v>
      </c>
    </row>
    <row r="389" spans="1:9">
      <c r="A389" t="s">
        <v>48</v>
      </c>
      <c r="B389" t="s">
        <v>30</v>
      </c>
      <c r="C389">
        <v>2024</v>
      </c>
      <c r="D389" t="s">
        <v>79</v>
      </c>
      <c r="E389">
        <v>17</v>
      </c>
      <c r="F389">
        <v>13</v>
      </c>
      <c r="G389">
        <v>4</v>
      </c>
      <c r="H389">
        <v>0</v>
      </c>
      <c r="I389" t="s">
        <v>24</v>
      </c>
    </row>
    <row r="390" spans="1:9">
      <c r="A390" t="s">
        <v>28</v>
      </c>
      <c r="B390" t="s">
        <v>14</v>
      </c>
      <c r="C390">
        <v>2024</v>
      </c>
      <c r="D390" t="s">
        <v>79</v>
      </c>
      <c r="E390">
        <v>10</v>
      </c>
      <c r="F390">
        <v>19</v>
      </c>
      <c r="G390">
        <v>-9</v>
      </c>
      <c r="H390">
        <v>0</v>
      </c>
      <c r="I390" t="s">
        <v>49</v>
      </c>
    </row>
    <row r="391" spans="1:9">
      <c r="A391" t="s">
        <v>29</v>
      </c>
      <c r="B391" t="s">
        <v>30</v>
      </c>
      <c r="C391">
        <v>2024</v>
      </c>
      <c r="D391" t="s">
        <v>79</v>
      </c>
      <c r="E391">
        <v>18</v>
      </c>
      <c r="F391">
        <v>20</v>
      </c>
      <c r="G391">
        <v>-2</v>
      </c>
      <c r="H391">
        <v>0</v>
      </c>
      <c r="I391" t="s">
        <v>61</v>
      </c>
    </row>
    <row r="392" spans="1:9">
      <c r="A392" t="s">
        <v>31</v>
      </c>
      <c r="B392" t="s">
        <v>27</v>
      </c>
      <c r="C392">
        <v>2024</v>
      </c>
      <c r="D392" t="s">
        <v>79</v>
      </c>
      <c r="E392">
        <v>2</v>
      </c>
      <c r="F392">
        <v>3</v>
      </c>
      <c r="G392">
        <v>-1</v>
      </c>
      <c r="H392">
        <v>16</v>
      </c>
      <c r="I392" t="s">
        <v>12</v>
      </c>
    </row>
    <row r="393" spans="1:9">
      <c r="A393" t="s">
        <v>32</v>
      </c>
      <c r="B393" t="s">
        <v>33</v>
      </c>
      <c r="C393">
        <v>2024</v>
      </c>
      <c r="D393" t="s">
        <v>79</v>
      </c>
      <c r="E393">
        <v>6</v>
      </c>
      <c r="F393">
        <v>8</v>
      </c>
      <c r="G393">
        <v>-2</v>
      </c>
      <c r="H393">
        <v>4</v>
      </c>
      <c r="I393" t="s">
        <v>12</v>
      </c>
    </row>
    <row r="394" spans="1:9">
      <c r="A394" t="s">
        <v>34</v>
      </c>
      <c r="B394" t="s">
        <v>10</v>
      </c>
      <c r="C394">
        <v>2024</v>
      </c>
      <c r="D394" t="s">
        <v>79</v>
      </c>
      <c r="E394">
        <v>7</v>
      </c>
      <c r="F394">
        <v>6</v>
      </c>
      <c r="G394">
        <v>1</v>
      </c>
      <c r="H394">
        <v>8</v>
      </c>
      <c r="I394" t="s">
        <v>12</v>
      </c>
    </row>
    <row r="395" spans="1:9">
      <c r="A395" t="s">
        <v>35</v>
      </c>
      <c r="B395" t="s">
        <v>36</v>
      </c>
      <c r="C395">
        <v>2024</v>
      </c>
      <c r="D395" t="s">
        <v>79</v>
      </c>
      <c r="E395">
        <v>12</v>
      </c>
      <c r="F395">
        <v>11</v>
      </c>
      <c r="G395">
        <v>1</v>
      </c>
      <c r="H395">
        <v>0</v>
      </c>
      <c r="I395" t="s">
        <v>12</v>
      </c>
    </row>
    <row r="396" spans="1:9">
      <c r="A396" t="s">
        <v>37</v>
      </c>
      <c r="B396" t="s">
        <v>38</v>
      </c>
      <c r="C396">
        <v>2024</v>
      </c>
      <c r="D396" t="s">
        <v>79</v>
      </c>
      <c r="E396">
        <v>9</v>
      </c>
      <c r="F396">
        <v>15</v>
      </c>
      <c r="G396">
        <v>-6</v>
      </c>
      <c r="H396">
        <v>0</v>
      </c>
      <c r="I396" t="s">
        <v>24</v>
      </c>
    </row>
    <row r="397" spans="1:9">
      <c r="A397" t="s">
        <v>39</v>
      </c>
      <c r="B397" t="s">
        <v>21</v>
      </c>
      <c r="C397">
        <v>2024</v>
      </c>
      <c r="D397" t="s">
        <v>79</v>
      </c>
      <c r="E397">
        <v>20</v>
      </c>
      <c r="F397">
        <v>18</v>
      </c>
      <c r="G397">
        <v>2</v>
      </c>
      <c r="H397">
        <v>0</v>
      </c>
      <c r="I397" t="s">
        <v>24</v>
      </c>
    </row>
    <row r="398" spans="1:9">
      <c r="A398" t="s">
        <v>40</v>
      </c>
      <c r="B398" t="s">
        <v>33</v>
      </c>
      <c r="C398">
        <v>2024</v>
      </c>
      <c r="D398" t="s">
        <v>79</v>
      </c>
      <c r="E398">
        <v>5</v>
      </c>
      <c r="F398">
        <v>4</v>
      </c>
      <c r="G398">
        <v>1</v>
      </c>
      <c r="H398">
        <v>12</v>
      </c>
      <c r="I398" t="s">
        <v>12</v>
      </c>
    </row>
    <row r="399" spans="1:9">
      <c r="A399" t="s">
        <v>52</v>
      </c>
      <c r="B399" t="s">
        <v>36</v>
      </c>
      <c r="C399">
        <v>2024</v>
      </c>
      <c r="D399" t="s">
        <v>79</v>
      </c>
      <c r="E399">
        <v>19</v>
      </c>
      <c r="F399">
        <v>14</v>
      </c>
      <c r="G399">
        <v>5</v>
      </c>
      <c r="H399">
        <v>0</v>
      </c>
      <c r="I399" t="s">
        <v>24</v>
      </c>
    </row>
    <row r="400" spans="1:9">
      <c r="A400" t="s">
        <v>56</v>
      </c>
      <c r="B400" t="s">
        <v>27</v>
      </c>
      <c r="C400">
        <v>2024</v>
      </c>
      <c r="D400" t="s">
        <v>79</v>
      </c>
      <c r="E400">
        <v>11</v>
      </c>
      <c r="F400">
        <v>7</v>
      </c>
      <c r="G400">
        <v>4</v>
      </c>
      <c r="H400">
        <v>6</v>
      </c>
      <c r="I400" t="s">
        <v>12</v>
      </c>
    </row>
    <row r="401" spans="1:9">
      <c r="A401" t="s">
        <v>9</v>
      </c>
      <c r="B401" t="s">
        <v>10</v>
      </c>
      <c r="C401">
        <v>2024</v>
      </c>
      <c r="D401" t="s">
        <v>80</v>
      </c>
      <c r="E401">
        <v>3</v>
      </c>
      <c r="F401">
        <v>6</v>
      </c>
      <c r="G401">
        <v>-3</v>
      </c>
      <c r="H401">
        <v>8</v>
      </c>
      <c r="I401" t="s">
        <v>12</v>
      </c>
    </row>
    <row r="402" spans="1:9">
      <c r="A402" t="s">
        <v>13</v>
      </c>
      <c r="B402" t="s">
        <v>14</v>
      </c>
      <c r="C402">
        <v>2024</v>
      </c>
      <c r="D402" t="s">
        <v>80</v>
      </c>
      <c r="E402">
        <v>7</v>
      </c>
      <c r="F402">
        <v>8</v>
      </c>
      <c r="G402">
        <v>-1</v>
      </c>
      <c r="H402">
        <v>4</v>
      </c>
      <c r="I402" t="s">
        <v>24</v>
      </c>
    </row>
    <row r="403" spans="1:9">
      <c r="A403" t="s">
        <v>15</v>
      </c>
      <c r="B403" t="s">
        <v>16</v>
      </c>
      <c r="C403">
        <v>2024</v>
      </c>
      <c r="D403" t="s">
        <v>80</v>
      </c>
      <c r="E403">
        <v>6</v>
      </c>
      <c r="F403">
        <v>9</v>
      </c>
      <c r="G403">
        <v>-3</v>
      </c>
      <c r="H403">
        <v>2</v>
      </c>
      <c r="I403" t="s">
        <v>24</v>
      </c>
    </row>
    <row r="404" spans="1:9">
      <c r="A404" t="s">
        <v>17</v>
      </c>
      <c r="B404" t="s">
        <v>18</v>
      </c>
      <c r="C404">
        <v>2024</v>
      </c>
      <c r="D404" t="s">
        <v>80</v>
      </c>
      <c r="E404">
        <v>13</v>
      </c>
      <c r="F404">
        <v>10</v>
      </c>
      <c r="G404">
        <v>3</v>
      </c>
      <c r="H404">
        <v>1</v>
      </c>
      <c r="I404" t="s">
        <v>24</v>
      </c>
    </row>
    <row r="405" spans="1:9">
      <c r="A405" t="s">
        <v>46</v>
      </c>
      <c r="B405" t="s">
        <v>38</v>
      </c>
      <c r="C405">
        <v>2024</v>
      </c>
      <c r="D405" t="s">
        <v>80</v>
      </c>
      <c r="E405">
        <v>16</v>
      </c>
      <c r="F405">
        <v>18</v>
      </c>
      <c r="G405">
        <v>-2</v>
      </c>
      <c r="H405">
        <v>0</v>
      </c>
      <c r="I405" t="s">
        <v>24</v>
      </c>
    </row>
    <row r="406" spans="1:9">
      <c r="A406" t="s">
        <v>20</v>
      </c>
      <c r="B406" t="s">
        <v>21</v>
      </c>
      <c r="C406">
        <v>2024</v>
      </c>
      <c r="D406" t="s">
        <v>80</v>
      </c>
      <c r="E406">
        <v>19</v>
      </c>
      <c r="F406">
        <v>16</v>
      </c>
      <c r="G406">
        <v>3</v>
      </c>
      <c r="H406">
        <v>0</v>
      </c>
      <c r="I406" t="s">
        <v>24</v>
      </c>
    </row>
    <row r="407" spans="1:9">
      <c r="A407" t="s">
        <v>23</v>
      </c>
      <c r="B407" t="s">
        <v>16</v>
      </c>
      <c r="C407">
        <v>2024</v>
      </c>
      <c r="D407" t="s">
        <v>80</v>
      </c>
      <c r="E407">
        <v>14</v>
      </c>
      <c r="F407">
        <v>19</v>
      </c>
      <c r="G407">
        <v>-5</v>
      </c>
      <c r="H407">
        <v>0</v>
      </c>
      <c r="I407" t="s">
        <v>49</v>
      </c>
    </row>
    <row r="408" spans="1:9">
      <c r="A408" t="s">
        <v>25</v>
      </c>
      <c r="B408" t="s">
        <v>18</v>
      </c>
      <c r="C408">
        <v>2024</v>
      </c>
      <c r="D408" t="s">
        <v>80</v>
      </c>
      <c r="E408">
        <v>2</v>
      </c>
      <c r="F408">
        <v>2</v>
      </c>
      <c r="G408">
        <v>0</v>
      </c>
      <c r="H408">
        <v>18</v>
      </c>
      <c r="I408" t="s">
        <v>12</v>
      </c>
    </row>
    <row r="409" spans="1:9">
      <c r="A409" t="s">
        <v>26</v>
      </c>
      <c r="B409" t="s">
        <v>27</v>
      </c>
      <c r="C409">
        <v>2024</v>
      </c>
      <c r="D409" t="s">
        <v>80</v>
      </c>
      <c r="E409">
        <v>10</v>
      </c>
      <c r="F409">
        <v>7</v>
      </c>
      <c r="G409">
        <v>3</v>
      </c>
      <c r="H409">
        <v>6</v>
      </c>
      <c r="I409" t="s">
        <v>12</v>
      </c>
    </row>
    <row r="410" spans="1:9">
      <c r="A410" t="s">
        <v>48</v>
      </c>
      <c r="B410" t="s">
        <v>30</v>
      </c>
      <c r="C410">
        <v>2024</v>
      </c>
      <c r="D410" t="s">
        <v>80</v>
      </c>
      <c r="E410">
        <v>15</v>
      </c>
      <c r="F410">
        <v>13</v>
      </c>
      <c r="G410">
        <v>2</v>
      </c>
      <c r="H410">
        <v>0</v>
      </c>
      <c r="I410" t="s">
        <v>24</v>
      </c>
    </row>
    <row r="411" spans="1:9">
      <c r="A411" t="s">
        <v>28</v>
      </c>
      <c r="B411" t="s">
        <v>14</v>
      </c>
      <c r="C411">
        <v>2024</v>
      </c>
      <c r="D411" t="s">
        <v>80</v>
      </c>
      <c r="E411">
        <v>17</v>
      </c>
      <c r="F411">
        <v>14</v>
      </c>
      <c r="G411">
        <v>3</v>
      </c>
      <c r="H411">
        <v>0</v>
      </c>
      <c r="I411" t="s">
        <v>24</v>
      </c>
    </row>
    <row r="412" spans="1:9">
      <c r="A412" t="s">
        <v>29</v>
      </c>
      <c r="B412" t="s">
        <v>30</v>
      </c>
      <c r="C412">
        <v>2024</v>
      </c>
      <c r="D412" t="s">
        <v>80</v>
      </c>
      <c r="E412">
        <v>18</v>
      </c>
      <c r="F412">
        <v>17</v>
      </c>
      <c r="G412">
        <v>1</v>
      </c>
      <c r="H412">
        <v>0</v>
      </c>
      <c r="I412" t="s">
        <v>24</v>
      </c>
    </row>
    <row r="413" spans="1:9">
      <c r="A413" t="s">
        <v>31</v>
      </c>
      <c r="B413" t="s">
        <v>27</v>
      </c>
      <c r="C413">
        <v>2024</v>
      </c>
      <c r="D413" t="s">
        <v>80</v>
      </c>
      <c r="E413">
        <v>9</v>
      </c>
      <c r="F413">
        <v>5</v>
      </c>
      <c r="G413">
        <v>4</v>
      </c>
      <c r="H413">
        <v>10</v>
      </c>
      <c r="I413" t="s">
        <v>12</v>
      </c>
    </row>
    <row r="414" spans="1:9">
      <c r="A414" t="s">
        <v>32</v>
      </c>
      <c r="B414" t="s">
        <v>33</v>
      </c>
      <c r="C414">
        <v>2024</v>
      </c>
      <c r="D414" t="s">
        <v>80</v>
      </c>
      <c r="E414">
        <v>1</v>
      </c>
      <c r="F414">
        <v>1</v>
      </c>
      <c r="G414">
        <v>0</v>
      </c>
      <c r="H414">
        <v>25</v>
      </c>
      <c r="I414" t="s">
        <v>12</v>
      </c>
    </row>
    <row r="415" spans="1:9">
      <c r="A415" t="s">
        <v>34</v>
      </c>
      <c r="B415" t="s">
        <v>10</v>
      </c>
      <c r="C415">
        <v>2024</v>
      </c>
      <c r="D415" t="s">
        <v>80</v>
      </c>
      <c r="E415">
        <v>4</v>
      </c>
      <c r="F415">
        <v>4</v>
      </c>
      <c r="G415">
        <v>0</v>
      </c>
      <c r="H415">
        <v>12</v>
      </c>
      <c r="I415" t="s">
        <v>12</v>
      </c>
    </row>
    <row r="416" spans="1:9">
      <c r="A416" t="s">
        <v>35</v>
      </c>
      <c r="B416" t="s">
        <v>36</v>
      </c>
      <c r="C416">
        <v>2024</v>
      </c>
      <c r="D416" t="s">
        <v>80</v>
      </c>
      <c r="E416">
        <v>11</v>
      </c>
      <c r="F416">
        <v>20</v>
      </c>
      <c r="G416">
        <v>-9</v>
      </c>
      <c r="H416">
        <v>0</v>
      </c>
      <c r="I416" t="s">
        <v>81</v>
      </c>
    </row>
    <row r="417" spans="1:9">
      <c r="A417" t="s">
        <v>37</v>
      </c>
      <c r="B417" t="s">
        <v>38</v>
      </c>
      <c r="C417">
        <v>2024</v>
      </c>
      <c r="D417" t="s">
        <v>80</v>
      </c>
      <c r="E417">
        <v>8</v>
      </c>
      <c r="F417">
        <v>12</v>
      </c>
      <c r="G417">
        <v>-4</v>
      </c>
      <c r="H417">
        <v>0</v>
      </c>
      <c r="I417" t="s">
        <v>24</v>
      </c>
    </row>
    <row r="418" spans="1:9">
      <c r="A418" t="s">
        <v>39</v>
      </c>
      <c r="B418" t="s">
        <v>21</v>
      </c>
      <c r="C418">
        <v>2024</v>
      </c>
      <c r="D418" t="s">
        <v>80</v>
      </c>
      <c r="E418">
        <v>20</v>
      </c>
      <c r="F418">
        <v>15</v>
      </c>
      <c r="G418">
        <v>5</v>
      </c>
      <c r="H418">
        <v>0</v>
      </c>
      <c r="I418" t="s">
        <v>24</v>
      </c>
    </row>
    <row r="419" spans="1:9">
      <c r="A419" t="s">
        <v>40</v>
      </c>
      <c r="B419" t="s">
        <v>33</v>
      </c>
      <c r="C419">
        <v>2024</v>
      </c>
      <c r="D419" t="s">
        <v>80</v>
      </c>
      <c r="E419">
        <v>5</v>
      </c>
      <c r="F419">
        <v>3</v>
      </c>
      <c r="G419">
        <v>2</v>
      </c>
      <c r="H419">
        <v>15</v>
      </c>
      <c r="I419" t="s">
        <v>12</v>
      </c>
    </row>
    <row r="420" spans="1:9">
      <c r="A420" t="s">
        <v>43</v>
      </c>
      <c r="B420" t="s">
        <v>36</v>
      </c>
      <c r="C420">
        <v>2024</v>
      </c>
      <c r="D420" t="s">
        <v>80</v>
      </c>
      <c r="E420">
        <v>12</v>
      </c>
      <c r="F420">
        <v>11</v>
      </c>
      <c r="G420">
        <v>1</v>
      </c>
      <c r="H420">
        <v>0</v>
      </c>
      <c r="I420" t="s">
        <v>24</v>
      </c>
    </row>
    <row r="421" spans="1:9">
      <c r="A421" t="s">
        <v>9</v>
      </c>
      <c r="B421" t="s">
        <v>10</v>
      </c>
      <c r="C421">
        <v>2024</v>
      </c>
      <c r="D421" t="s">
        <v>82</v>
      </c>
      <c r="E421">
        <v>3</v>
      </c>
      <c r="F421">
        <v>3</v>
      </c>
      <c r="G421">
        <v>0</v>
      </c>
      <c r="H421">
        <v>15</v>
      </c>
      <c r="I421" t="s">
        <v>12</v>
      </c>
    </row>
    <row r="422" spans="1:9">
      <c r="A422" t="s">
        <v>13</v>
      </c>
      <c r="B422" t="s">
        <v>14</v>
      </c>
      <c r="C422">
        <v>2024</v>
      </c>
      <c r="D422" t="s">
        <v>82</v>
      </c>
      <c r="E422">
        <v>10</v>
      </c>
      <c r="F422">
        <v>12</v>
      </c>
      <c r="G422">
        <v>-2</v>
      </c>
      <c r="H422">
        <v>0</v>
      </c>
      <c r="I422" t="s">
        <v>24</v>
      </c>
    </row>
    <row r="423" spans="1:9">
      <c r="A423" t="s">
        <v>15</v>
      </c>
      <c r="B423" t="s">
        <v>16</v>
      </c>
      <c r="C423">
        <v>2024</v>
      </c>
      <c r="D423" t="s">
        <v>82</v>
      </c>
      <c r="E423">
        <v>13</v>
      </c>
      <c r="F423">
        <v>11</v>
      </c>
      <c r="G423">
        <v>2</v>
      </c>
      <c r="H423">
        <v>0</v>
      </c>
      <c r="I423" t="s">
        <v>12</v>
      </c>
    </row>
    <row r="424" spans="1:9">
      <c r="A424" t="s">
        <v>17</v>
      </c>
      <c r="B424" t="s">
        <v>18</v>
      </c>
      <c r="C424">
        <v>2024</v>
      </c>
      <c r="D424" t="s">
        <v>82</v>
      </c>
      <c r="E424">
        <v>11</v>
      </c>
      <c r="F424">
        <v>8</v>
      </c>
      <c r="G424">
        <v>3</v>
      </c>
      <c r="H424">
        <v>4</v>
      </c>
      <c r="I424" t="s">
        <v>12</v>
      </c>
    </row>
    <row r="425" spans="1:9">
      <c r="A425" t="s">
        <v>46</v>
      </c>
      <c r="B425" t="s">
        <v>38</v>
      </c>
      <c r="C425">
        <v>2024</v>
      </c>
      <c r="D425" t="s">
        <v>82</v>
      </c>
      <c r="E425">
        <v>18</v>
      </c>
      <c r="F425">
        <v>15</v>
      </c>
      <c r="G425">
        <v>3</v>
      </c>
      <c r="H425">
        <v>0</v>
      </c>
      <c r="I425" t="s">
        <v>24</v>
      </c>
    </row>
    <row r="426" spans="1:9">
      <c r="A426" t="s">
        <v>20</v>
      </c>
      <c r="B426" t="s">
        <v>21</v>
      </c>
      <c r="C426">
        <v>2024</v>
      </c>
      <c r="D426" t="s">
        <v>82</v>
      </c>
      <c r="E426">
        <v>12</v>
      </c>
      <c r="F426">
        <v>16</v>
      </c>
      <c r="G426">
        <v>-4</v>
      </c>
      <c r="H426">
        <v>0</v>
      </c>
      <c r="I426" t="s">
        <v>24</v>
      </c>
    </row>
    <row r="427" spans="1:9">
      <c r="A427" t="s">
        <v>23</v>
      </c>
      <c r="B427" t="s">
        <v>16</v>
      </c>
      <c r="C427">
        <v>2024</v>
      </c>
      <c r="D427" t="s">
        <v>82</v>
      </c>
      <c r="E427">
        <v>16</v>
      </c>
      <c r="F427">
        <v>17</v>
      </c>
      <c r="G427">
        <v>-1</v>
      </c>
      <c r="H427">
        <v>0</v>
      </c>
      <c r="I427" t="s">
        <v>24</v>
      </c>
    </row>
    <row r="428" spans="1:9">
      <c r="A428" t="s">
        <v>25</v>
      </c>
      <c r="B428" t="s">
        <v>18</v>
      </c>
      <c r="C428">
        <v>2024</v>
      </c>
      <c r="D428" t="s">
        <v>82</v>
      </c>
      <c r="E428">
        <v>2</v>
      </c>
      <c r="F428">
        <v>1</v>
      </c>
      <c r="G428">
        <v>1</v>
      </c>
      <c r="H428">
        <v>25</v>
      </c>
      <c r="I428" t="s">
        <v>12</v>
      </c>
    </row>
    <row r="429" spans="1:9">
      <c r="A429" t="s">
        <v>26</v>
      </c>
      <c r="B429" t="s">
        <v>27</v>
      </c>
      <c r="C429">
        <v>2024</v>
      </c>
      <c r="D429" t="s">
        <v>82</v>
      </c>
      <c r="E429">
        <v>6</v>
      </c>
      <c r="F429">
        <v>6</v>
      </c>
      <c r="G429">
        <v>0</v>
      </c>
      <c r="H429">
        <v>8</v>
      </c>
      <c r="I429" t="s">
        <v>12</v>
      </c>
    </row>
    <row r="430" spans="1:9">
      <c r="A430" t="s">
        <v>48</v>
      </c>
      <c r="B430" t="s">
        <v>30</v>
      </c>
      <c r="C430">
        <v>2024</v>
      </c>
      <c r="D430" t="s">
        <v>82</v>
      </c>
      <c r="E430">
        <v>8</v>
      </c>
      <c r="F430">
        <v>10</v>
      </c>
      <c r="G430">
        <v>-2</v>
      </c>
      <c r="H430">
        <v>1</v>
      </c>
      <c r="I430" t="s">
        <v>12</v>
      </c>
    </row>
    <row r="431" spans="1:9">
      <c r="A431" t="s">
        <v>28</v>
      </c>
      <c r="B431" t="s">
        <v>14</v>
      </c>
      <c r="C431">
        <v>2024</v>
      </c>
      <c r="D431" t="s">
        <v>82</v>
      </c>
      <c r="E431">
        <v>14</v>
      </c>
      <c r="F431">
        <v>14</v>
      </c>
      <c r="G431">
        <v>0</v>
      </c>
      <c r="H431">
        <v>0</v>
      </c>
      <c r="I431" t="s">
        <v>24</v>
      </c>
    </row>
    <row r="432" spans="1:9">
      <c r="A432" t="s">
        <v>29</v>
      </c>
      <c r="B432" t="s">
        <v>30</v>
      </c>
      <c r="C432">
        <v>2024</v>
      </c>
      <c r="D432" t="s">
        <v>82</v>
      </c>
      <c r="E432">
        <v>7</v>
      </c>
      <c r="F432">
        <v>9</v>
      </c>
      <c r="G432">
        <v>-2</v>
      </c>
      <c r="H432">
        <v>2</v>
      </c>
      <c r="I432" t="s">
        <v>12</v>
      </c>
    </row>
    <row r="433" spans="1:9">
      <c r="A433" t="s">
        <v>31</v>
      </c>
      <c r="B433" t="s">
        <v>27</v>
      </c>
      <c r="C433">
        <v>2024</v>
      </c>
      <c r="D433" t="s">
        <v>82</v>
      </c>
      <c r="E433">
        <v>5</v>
      </c>
      <c r="F433">
        <v>5</v>
      </c>
      <c r="G433">
        <v>0</v>
      </c>
      <c r="H433">
        <v>10</v>
      </c>
      <c r="I433" t="s">
        <v>12</v>
      </c>
    </row>
    <row r="434" spans="1:9">
      <c r="A434" t="s">
        <v>32</v>
      </c>
      <c r="B434" t="s">
        <v>33</v>
      </c>
      <c r="C434">
        <v>2024</v>
      </c>
      <c r="D434" t="s">
        <v>82</v>
      </c>
      <c r="E434">
        <v>1</v>
      </c>
      <c r="F434">
        <v>2</v>
      </c>
      <c r="G434">
        <v>-1</v>
      </c>
      <c r="H434">
        <v>19</v>
      </c>
      <c r="I434" t="s">
        <v>12</v>
      </c>
    </row>
    <row r="435" spans="1:9">
      <c r="A435" t="s">
        <v>34</v>
      </c>
      <c r="B435" t="s">
        <v>10</v>
      </c>
      <c r="C435">
        <v>2024</v>
      </c>
      <c r="D435" t="s">
        <v>82</v>
      </c>
      <c r="E435">
        <v>4</v>
      </c>
      <c r="F435">
        <v>4</v>
      </c>
      <c r="G435">
        <v>0</v>
      </c>
      <c r="H435">
        <v>12</v>
      </c>
      <c r="I435" t="s">
        <v>12</v>
      </c>
    </row>
    <row r="436" spans="1:9">
      <c r="A436" t="s">
        <v>35</v>
      </c>
      <c r="B436" t="s">
        <v>36</v>
      </c>
      <c r="C436">
        <v>2024</v>
      </c>
      <c r="D436" t="s">
        <v>82</v>
      </c>
      <c r="E436">
        <v>0</v>
      </c>
      <c r="F436">
        <v>18</v>
      </c>
      <c r="G436">
        <v>-18</v>
      </c>
      <c r="H436">
        <v>0</v>
      </c>
      <c r="I436" t="s">
        <v>24</v>
      </c>
    </row>
    <row r="437" spans="1:9">
      <c r="A437" t="s">
        <v>37</v>
      </c>
      <c r="B437" t="s">
        <v>38</v>
      </c>
      <c r="C437">
        <v>2024</v>
      </c>
      <c r="D437" t="s">
        <v>82</v>
      </c>
      <c r="E437">
        <v>17</v>
      </c>
      <c r="F437">
        <v>19</v>
      </c>
      <c r="G437">
        <v>-2</v>
      </c>
      <c r="H437">
        <v>0</v>
      </c>
      <c r="I437" t="s">
        <v>24</v>
      </c>
    </row>
    <row r="438" spans="1:9">
      <c r="A438" t="s">
        <v>39</v>
      </c>
      <c r="B438" t="s">
        <v>21</v>
      </c>
      <c r="C438">
        <v>2024</v>
      </c>
      <c r="D438" t="s">
        <v>82</v>
      </c>
      <c r="E438">
        <v>15</v>
      </c>
      <c r="F438">
        <v>13</v>
      </c>
      <c r="G438">
        <v>2</v>
      </c>
      <c r="H438">
        <v>0</v>
      </c>
      <c r="I438" t="s">
        <v>24</v>
      </c>
    </row>
    <row r="439" spans="1:9">
      <c r="A439" t="s">
        <v>40</v>
      </c>
      <c r="B439" t="s">
        <v>33</v>
      </c>
      <c r="C439">
        <v>2024</v>
      </c>
      <c r="D439" t="s">
        <v>82</v>
      </c>
      <c r="E439">
        <v>9</v>
      </c>
      <c r="F439">
        <v>7</v>
      </c>
      <c r="G439">
        <v>2</v>
      </c>
      <c r="H439">
        <v>6</v>
      </c>
      <c r="I439" t="s">
        <v>12</v>
      </c>
    </row>
    <row r="440" spans="1:9">
      <c r="A440" t="s">
        <v>52</v>
      </c>
      <c r="B440" t="s">
        <v>36</v>
      </c>
      <c r="C440">
        <v>2024</v>
      </c>
      <c r="D440" t="s">
        <v>82</v>
      </c>
      <c r="E440">
        <v>19</v>
      </c>
      <c r="F440">
        <v>20</v>
      </c>
      <c r="G440">
        <v>-1</v>
      </c>
      <c r="H440">
        <v>0</v>
      </c>
      <c r="I440" t="s">
        <v>53</v>
      </c>
    </row>
    <row r="441" spans="1:9">
      <c r="A441" t="s">
        <v>9</v>
      </c>
      <c r="B441" t="s">
        <v>10</v>
      </c>
      <c r="C441">
        <v>2024</v>
      </c>
      <c r="D441" t="s">
        <v>83</v>
      </c>
      <c r="E441">
        <v>14</v>
      </c>
      <c r="F441">
        <v>10</v>
      </c>
      <c r="G441">
        <v>4</v>
      </c>
      <c r="H441">
        <v>1</v>
      </c>
      <c r="I441" t="s">
        <v>12</v>
      </c>
    </row>
    <row r="442" spans="1:9">
      <c r="A442" t="s">
        <v>13</v>
      </c>
      <c r="B442" t="s">
        <v>14</v>
      </c>
      <c r="C442">
        <v>2024</v>
      </c>
      <c r="D442" t="s">
        <v>83</v>
      </c>
      <c r="E442">
        <v>9</v>
      </c>
      <c r="F442">
        <v>14</v>
      </c>
      <c r="G442">
        <v>-5</v>
      </c>
      <c r="H442">
        <v>0</v>
      </c>
      <c r="I442" t="s">
        <v>12</v>
      </c>
    </row>
    <row r="443" spans="1:9">
      <c r="A443" t="s">
        <v>15</v>
      </c>
      <c r="B443" t="s">
        <v>16</v>
      </c>
      <c r="C443">
        <v>2024</v>
      </c>
      <c r="D443" t="s">
        <v>83</v>
      </c>
      <c r="E443">
        <v>17</v>
      </c>
      <c r="F443">
        <v>20</v>
      </c>
      <c r="G443">
        <v>-3</v>
      </c>
      <c r="H443">
        <v>0</v>
      </c>
      <c r="I443" t="s">
        <v>59</v>
      </c>
    </row>
    <row r="444" spans="1:9">
      <c r="A444" t="s">
        <v>17</v>
      </c>
      <c r="B444" t="s">
        <v>18</v>
      </c>
      <c r="C444">
        <v>2024</v>
      </c>
      <c r="D444" t="s">
        <v>83</v>
      </c>
      <c r="E444">
        <v>12</v>
      </c>
      <c r="F444">
        <v>11</v>
      </c>
      <c r="G444">
        <v>1</v>
      </c>
      <c r="H444">
        <v>0</v>
      </c>
      <c r="I444" t="s">
        <v>12</v>
      </c>
    </row>
    <row r="445" spans="1:9">
      <c r="A445" t="s">
        <v>20</v>
      </c>
      <c r="B445" t="s">
        <v>21</v>
      </c>
      <c r="C445">
        <v>2024</v>
      </c>
      <c r="D445" t="s">
        <v>83</v>
      </c>
      <c r="E445">
        <v>11</v>
      </c>
      <c r="F445">
        <v>13</v>
      </c>
      <c r="G445">
        <v>-2</v>
      </c>
      <c r="H445">
        <v>0</v>
      </c>
      <c r="I445" t="s">
        <v>12</v>
      </c>
    </row>
    <row r="446" spans="1:9">
      <c r="A446" t="s">
        <v>25</v>
      </c>
      <c r="B446" t="s">
        <v>18</v>
      </c>
      <c r="C446">
        <v>2024</v>
      </c>
      <c r="D446" t="s">
        <v>83</v>
      </c>
      <c r="E446">
        <v>17</v>
      </c>
      <c r="F446">
        <v>1</v>
      </c>
      <c r="G446">
        <v>16</v>
      </c>
      <c r="H446">
        <v>26</v>
      </c>
      <c r="I446" t="s">
        <v>12</v>
      </c>
    </row>
    <row r="447" spans="1:9">
      <c r="A447" t="s">
        <v>26</v>
      </c>
      <c r="B447" t="s">
        <v>27</v>
      </c>
      <c r="C447">
        <v>2024</v>
      </c>
      <c r="D447" t="s">
        <v>83</v>
      </c>
      <c r="E447">
        <v>0</v>
      </c>
      <c r="F447">
        <v>16</v>
      </c>
      <c r="G447">
        <v>-16</v>
      </c>
      <c r="H447">
        <v>0</v>
      </c>
      <c r="I447" t="s">
        <v>49</v>
      </c>
    </row>
    <row r="448" spans="1:9">
      <c r="A448" t="s">
        <v>48</v>
      </c>
      <c r="B448" t="s">
        <v>30</v>
      </c>
      <c r="C448">
        <v>2024</v>
      </c>
      <c r="D448" t="s">
        <v>83</v>
      </c>
      <c r="E448">
        <v>4</v>
      </c>
      <c r="F448">
        <v>2</v>
      </c>
      <c r="G448">
        <v>2</v>
      </c>
      <c r="H448">
        <v>18</v>
      </c>
      <c r="I448" t="s">
        <v>12</v>
      </c>
    </row>
    <row r="449" spans="1:9">
      <c r="A449" t="s">
        <v>28</v>
      </c>
      <c r="B449" t="s">
        <v>14</v>
      </c>
      <c r="C449">
        <v>2024</v>
      </c>
      <c r="D449" t="s">
        <v>83</v>
      </c>
      <c r="E449">
        <v>10</v>
      </c>
      <c r="F449">
        <v>19</v>
      </c>
      <c r="G449">
        <v>-9</v>
      </c>
      <c r="H449">
        <v>0</v>
      </c>
      <c r="I449" t="s">
        <v>84</v>
      </c>
    </row>
    <row r="450" spans="1:9">
      <c r="A450" t="s">
        <v>29</v>
      </c>
      <c r="B450" t="s">
        <v>30</v>
      </c>
      <c r="C450">
        <v>2024</v>
      </c>
      <c r="D450" t="s">
        <v>83</v>
      </c>
      <c r="E450">
        <v>13</v>
      </c>
      <c r="F450">
        <v>3</v>
      </c>
      <c r="G450">
        <v>10</v>
      </c>
      <c r="H450">
        <v>15</v>
      </c>
      <c r="I450" t="s">
        <v>12</v>
      </c>
    </row>
    <row r="451" spans="1:9">
      <c r="A451" t="s">
        <v>31</v>
      </c>
      <c r="B451" t="s">
        <v>27</v>
      </c>
      <c r="C451">
        <v>2024</v>
      </c>
      <c r="D451" t="s">
        <v>83</v>
      </c>
      <c r="E451">
        <v>6</v>
      </c>
      <c r="F451">
        <v>5</v>
      </c>
      <c r="G451">
        <v>1</v>
      </c>
      <c r="H451">
        <v>10</v>
      </c>
      <c r="I451" t="s">
        <v>12</v>
      </c>
    </row>
    <row r="452" spans="1:9">
      <c r="A452" t="s">
        <v>32</v>
      </c>
      <c r="B452" t="s">
        <v>33</v>
      </c>
      <c r="C452">
        <v>2024</v>
      </c>
      <c r="D452" t="s">
        <v>83</v>
      </c>
      <c r="E452">
        <v>1</v>
      </c>
      <c r="F452">
        <v>6</v>
      </c>
      <c r="G452">
        <v>-5</v>
      </c>
      <c r="H452">
        <v>8</v>
      </c>
      <c r="I452" t="s">
        <v>12</v>
      </c>
    </row>
    <row r="453" spans="1:9">
      <c r="A453" t="s">
        <v>34</v>
      </c>
      <c r="B453" t="s">
        <v>10</v>
      </c>
      <c r="C453">
        <v>2024</v>
      </c>
      <c r="D453" t="s">
        <v>83</v>
      </c>
      <c r="E453">
        <v>2</v>
      </c>
      <c r="F453">
        <v>4</v>
      </c>
      <c r="G453">
        <v>-2</v>
      </c>
      <c r="H453">
        <v>12</v>
      </c>
      <c r="I453" t="s">
        <v>12</v>
      </c>
    </row>
    <row r="454" spans="1:9">
      <c r="A454" t="s">
        <v>35</v>
      </c>
      <c r="B454" t="s">
        <v>36</v>
      </c>
      <c r="C454">
        <v>2024</v>
      </c>
      <c r="D454" t="s">
        <v>83</v>
      </c>
      <c r="E454">
        <v>7</v>
      </c>
      <c r="F454">
        <v>18</v>
      </c>
      <c r="G454">
        <v>-11</v>
      </c>
      <c r="H454">
        <v>0</v>
      </c>
      <c r="I454" t="s">
        <v>84</v>
      </c>
    </row>
    <row r="455" spans="1:9">
      <c r="A455" t="s">
        <v>37</v>
      </c>
      <c r="B455" t="s">
        <v>38</v>
      </c>
      <c r="C455">
        <v>2024</v>
      </c>
      <c r="D455" t="s">
        <v>83</v>
      </c>
      <c r="E455">
        <v>3</v>
      </c>
      <c r="F455">
        <v>7</v>
      </c>
      <c r="G455">
        <v>-4</v>
      </c>
      <c r="H455">
        <v>6</v>
      </c>
      <c r="I455" t="s">
        <v>12</v>
      </c>
    </row>
    <row r="456" spans="1:9">
      <c r="A456" t="s">
        <v>39</v>
      </c>
      <c r="B456" t="s">
        <v>21</v>
      </c>
      <c r="C456">
        <v>2024</v>
      </c>
      <c r="D456" t="s">
        <v>83</v>
      </c>
      <c r="E456">
        <v>19</v>
      </c>
      <c r="F456">
        <v>15</v>
      </c>
      <c r="G456">
        <v>4</v>
      </c>
      <c r="H456">
        <v>0</v>
      </c>
      <c r="I456" t="s">
        <v>12</v>
      </c>
    </row>
    <row r="457" spans="1:9">
      <c r="A457" t="s">
        <v>40</v>
      </c>
      <c r="B457" t="s">
        <v>33</v>
      </c>
      <c r="C457">
        <v>2024</v>
      </c>
      <c r="D457" t="s">
        <v>83</v>
      </c>
      <c r="E457">
        <v>8</v>
      </c>
      <c r="F457">
        <v>8</v>
      </c>
      <c r="G457">
        <v>0</v>
      </c>
      <c r="H457">
        <v>4</v>
      </c>
      <c r="I457" t="s">
        <v>12</v>
      </c>
    </row>
    <row r="458" spans="1:9">
      <c r="A458" t="s">
        <v>41</v>
      </c>
      <c r="B458" t="s">
        <v>38</v>
      </c>
      <c r="C458">
        <v>2024</v>
      </c>
      <c r="D458" t="s">
        <v>83</v>
      </c>
      <c r="E458">
        <v>5</v>
      </c>
      <c r="F458">
        <v>9</v>
      </c>
      <c r="G458">
        <v>-4</v>
      </c>
      <c r="H458">
        <v>2</v>
      </c>
      <c r="I458" t="s">
        <v>12</v>
      </c>
    </row>
    <row r="459" spans="1:9">
      <c r="A459" t="s">
        <v>56</v>
      </c>
      <c r="B459" t="s">
        <v>16</v>
      </c>
      <c r="C459">
        <v>2024</v>
      </c>
      <c r="D459" t="s">
        <v>83</v>
      </c>
      <c r="E459">
        <v>15</v>
      </c>
      <c r="F459">
        <v>12</v>
      </c>
      <c r="G459">
        <v>3</v>
      </c>
      <c r="H459">
        <v>0</v>
      </c>
      <c r="I459" t="s">
        <v>12</v>
      </c>
    </row>
    <row r="460" spans="1:9">
      <c r="A460" t="s">
        <v>43</v>
      </c>
      <c r="B460" t="s">
        <v>36</v>
      </c>
      <c r="C460">
        <v>2024</v>
      </c>
      <c r="D460" t="s">
        <v>83</v>
      </c>
      <c r="E460">
        <v>16</v>
      </c>
      <c r="F460">
        <v>17</v>
      </c>
      <c r="G460">
        <v>-1</v>
      </c>
      <c r="H460">
        <v>0</v>
      </c>
      <c r="I460" t="s">
        <v>49</v>
      </c>
    </row>
    <row r="461" spans="1:9">
      <c r="A461" t="s">
        <v>9</v>
      </c>
      <c r="B461" t="s">
        <v>10</v>
      </c>
      <c r="C461">
        <v>2024</v>
      </c>
      <c r="D461" t="s">
        <v>85</v>
      </c>
      <c r="E461">
        <v>17</v>
      </c>
      <c r="F461">
        <v>20</v>
      </c>
      <c r="G461">
        <v>-3</v>
      </c>
      <c r="H461">
        <v>0</v>
      </c>
      <c r="I461" t="s">
        <v>78</v>
      </c>
    </row>
    <row r="462" spans="1:9">
      <c r="A462" t="s">
        <v>13</v>
      </c>
      <c r="B462" t="s">
        <v>14</v>
      </c>
      <c r="C462">
        <v>2024</v>
      </c>
      <c r="D462" t="s">
        <v>85</v>
      </c>
      <c r="E462">
        <v>7</v>
      </c>
      <c r="F462">
        <v>13</v>
      </c>
      <c r="G462">
        <v>-6</v>
      </c>
      <c r="H462">
        <v>0</v>
      </c>
      <c r="I462" t="s">
        <v>24</v>
      </c>
    </row>
    <row r="463" spans="1:9">
      <c r="A463" t="s">
        <v>15</v>
      </c>
      <c r="B463" t="s">
        <v>16</v>
      </c>
      <c r="C463">
        <v>2024</v>
      </c>
      <c r="D463" t="s">
        <v>85</v>
      </c>
      <c r="E463">
        <v>11</v>
      </c>
      <c r="F463">
        <v>8</v>
      </c>
      <c r="G463">
        <v>3</v>
      </c>
      <c r="H463">
        <v>4</v>
      </c>
      <c r="I463" t="s">
        <v>12</v>
      </c>
    </row>
    <row r="464" spans="1:9">
      <c r="A464" t="s">
        <v>17</v>
      </c>
      <c r="B464" t="s">
        <v>18</v>
      </c>
      <c r="C464">
        <v>2024</v>
      </c>
      <c r="D464" t="s">
        <v>85</v>
      </c>
      <c r="E464">
        <v>9</v>
      </c>
      <c r="F464">
        <v>7</v>
      </c>
      <c r="G464">
        <v>2</v>
      </c>
      <c r="H464">
        <v>6</v>
      </c>
      <c r="I464" t="s">
        <v>12</v>
      </c>
    </row>
    <row r="465" spans="1:9">
      <c r="A465" t="s">
        <v>20</v>
      </c>
      <c r="B465" t="s">
        <v>21</v>
      </c>
      <c r="C465">
        <v>2024</v>
      </c>
      <c r="D465" t="s">
        <v>85</v>
      </c>
      <c r="E465">
        <v>16</v>
      </c>
      <c r="F465">
        <v>17</v>
      </c>
      <c r="G465">
        <v>-1</v>
      </c>
      <c r="H465">
        <v>0</v>
      </c>
      <c r="I465" t="s">
        <v>24</v>
      </c>
    </row>
    <row r="466" spans="1:9">
      <c r="A466" t="s">
        <v>23</v>
      </c>
      <c r="B466" t="s">
        <v>16</v>
      </c>
      <c r="C466">
        <v>2024</v>
      </c>
      <c r="D466" t="s">
        <v>85</v>
      </c>
      <c r="E466">
        <v>8</v>
      </c>
      <c r="F466">
        <v>11</v>
      </c>
      <c r="G466">
        <v>-3</v>
      </c>
      <c r="H466">
        <v>0</v>
      </c>
      <c r="I466" t="s">
        <v>12</v>
      </c>
    </row>
    <row r="467" spans="1:9">
      <c r="A467" t="s">
        <v>25</v>
      </c>
      <c r="B467" t="s">
        <v>18</v>
      </c>
      <c r="C467">
        <v>2024</v>
      </c>
      <c r="D467" t="s">
        <v>85</v>
      </c>
      <c r="E467">
        <v>2</v>
      </c>
      <c r="F467">
        <v>3</v>
      </c>
      <c r="G467">
        <v>-1</v>
      </c>
      <c r="H467">
        <v>15</v>
      </c>
      <c r="I467" t="s">
        <v>12</v>
      </c>
    </row>
    <row r="468" spans="1:9">
      <c r="A468" t="s">
        <v>26</v>
      </c>
      <c r="B468" t="s">
        <v>27</v>
      </c>
      <c r="C468">
        <v>2024</v>
      </c>
      <c r="D468" t="s">
        <v>85</v>
      </c>
      <c r="E468">
        <v>3</v>
      </c>
      <c r="F468">
        <v>2</v>
      </c>
      <c r="G468">
        <v>1</v>
      </c>
      <c r="H468">
        <v>18</v>
      </c>
      <c r="I468" t="s">
        <v>12</v>
      </c>
    </row>
    <row r="469" spans="1:9">
      <c r="A469" t="s">
        <v>48</v>
      </c>
      <c r="B469" t="s">
        <v>30</v>
      </c>
      <c r="C469">
        <v>2024</v>
      </c>
      <c r="D469" t="s">
        <v>85</v>
      </c>
      <c r="E469">
        <v>12</v>
      </c>
      <c r="F469">
        <v>18</v>
      </c>
      <c r="G469">
        <v>-6</v>
      </c>
      <c r="H469">
        <v>0</v>
      </c>
      <c r="I469" t="s">
        <v>24</v>
      </c>
    </row>
    <row r="470" spans="1:9">
      <c r="A470" t="s">
        <v>28</v>
      </c>
      <c r="B470" t="s">
        <v>14</v>
      </c>
      <c r="C470">
        <v>2024</v>
      </c>
      <c r="D470" t="s">
        <v>85</v>
      </c>
      <c r="E470">
        <v>13</v>
      </c>
      <c r="F470">
        <v>15</v>
      </c>
      <c r="G470">
        <v>-2</v>
      </c>
      <c r="H470">
        <v>0</v>
      </c>
      <c r="I470" t="s">
        <v>24</v>
      </c>
    </row>
    <row r="471" spans="1:9">
      <c r="A471" t="s">
        <v>29</v>
      </c>
      <c r="B471" t="s">
        <v>30</v>
      </c>
      <c r="C471">
        <v>2024</v>
      </c>
      <c r="D471" t="s">
        <v>85</v>
      </c>
      <c r="E471">
        <v>6</v>
      </c>
      <c r="F471">
        <v>12</v>
      </c>
      <c r="G471">
        <v>-6</v>
      </c>
      <c r="H471">
        <v>0</v>
      </c>
      <c r="I471" t="s">
        <v>12</v>
      </c>
    </row>
    <row r="472" spans="1:9">
      <c r="A472" t="s">
        <v>31</v>
      </c>
      <c r="B472" t="s">
        <v>27</v>
      </c>
      <c r="C472">
        <v>2024</v>
      </c>
      <c r="D472" t="s">
        <v>85</v>
      </c>
      <c r="E472">
        <v>4</v>
      </c>
      <c r="F472">
        <v>1</v>
      </c>
      <c r="G472">
        <v>3</v>
      </c>
      <c r="H472">
        <v>25</v>
      </c>
      <c r="I472" t="s">
        <v>12</v>
      </c>
    </row>
    <row r="473" spans="1:9">
      <c r="A473" t="s">
        <v>32</v>
      </c>
      <c r="B473" t="s">
        <v>33</v>
      </c>
      <c r="C473">
        <v>2024</v>
      </c>
      <c r="D473" t="s">
        <v>85</v>
      </c>
      <c r="E473">
        <v>1</v>
      </c>
      <c r="F473">
        <v>4</v>
      </c>
      <c r="G473">
        <v>-3</v>
      </c>
      <c r="H473">
        <v>12</v>
      </c>
      <c r="I473" t="s">
        <v>12</v>
      </c>
    </row>
    <row r="474" spans="1:9">
      <c r="A474" t="s">
        <v>34</v>
      </c>
      <c r="B474" t="s">
        <v>10</v>
      </c>
      <c r="C474">
        <v>2024</v>
      </c>
      <c r="D474" t="s">
        <v>85</v>
      </c>
      <c r="E474">
        <v>20</v>
      </c>
      <c r="F474">
        <v>6</v>
      </c>
      <c r="G474">
        <v>14</v>
      </c>
      <c r="H474">
        <v>8</v>
      </c>
      <c r="I474" t="s">
        <v>12</v>
      </c>
    </row>
    <row r="475" spans="1:9">
      <c r="A475" t="s">
        <v>35</v>
      </c>
      <c r="B475" t="s">
        <v>36</v>
      </c>
      <c r="C475">
        <v>2024</v>
      </c>
      <c r="D475" t="s">
        <v>85</v>
      </c>
      <c r="E475">
        <v>14</v>
      </c>
      <c r="F475">
        <v>16</v>
      </c>
      <c r="G475">
        <v>-2</v>
      </c>
      <c r="H475">
        <v>0</v>
      </c>
      <c r="I475" t="s">
        <v>24</v>
      </c>
    </row>
    <row r="476" spans="1:9">
      <c r="A476" t="s">
        <v>37</v>
      </c>
      <c r="B476" t="s">
        <v>38</v>
      </c>
      <c r="C476">
        <v>2024</v>
      </c>
      <c r="D476" t="s">
        <v>85</v>
      </c>
      <c r="E476">
        <v>10</v>
      </c>
      <c r="F476">
        <v>14</v>
      </c>
      <c r="G476">
        <v>-4</v>
      </c>
      <c r="H476">
        <v>0</v>
      </c>
      <c r="I476" t="s">
        <v>24</v>
      </c>
    </row>
    <row r="477" spans="1:9">
      <c r="A477" t="s">
        <v>39</v>
      </c>
      <c r="B477" t="s">
        <v>21</v>
      </c>
      <c r="C477">
        <v>2024</v>
      </c>
      <c r="D477" t="s">
        <v>85</v>
      </c>
      <c r="E477">
        <v>18</v>
      </c>
      <c r="F477">
        <v>19</v>
      </c>
      <c r="G477">
        <v>-1</v>
      </c>
      <c r="H477">
        <v>0</v>
      </c>
      <c r="I477" t="s">
        <v>24</v>
      </c>
    </row>
    <row r="478" spans="1:9">
      <c r="A478" t="s">
        <v>40</v>
      </c>
      <c r="B478" t="s">
        <v>33</v>
      </c>
      <c r="C478">
        <v>2024</v>
      </c>
      <c r="D478" t="s">
        <v>85</v>
      </c>
      <c r="E478">
        <v>5</v>
      </c>
      <c r="F478">
        <v>5</v>
      </c>
      <c r="G478">
        <v>0</v>
      </c>
      <c r="H478">
        <v>10</v>
      </c>
      <c r="I478" t="s">
        <v>12</v>
      </c>
    </row>
    <row r="479" spans="1:9">
      <c r="A479" t="s">
        <v>41</v>
      </c>
      <c r="B479" t="s">
        <v>38</v>
      </c>
      <c r="C479">
        <v>2024</v>
      </c>
      <c r="D479" t="s">
        <v>85</v>
      </c>
      <c r="E479">
        <v>19</v>
      </c>
      <c r="F479">
        <v>9</v>
      </c>
      <c r="G479">
        <v>10</v>
      </c>
      <c r="H479">
        <v>2</v>
      </c>
      <c r="I479" t="s">
        <v>12</v>
      </c>
    </row>
    <row r="480" spans="1:9">
      <c r="A480" t="s">
        <v>43</v>
      </c>
      <c r="B480" t="s">
        <v>36</v>
      </c>
      <c r="C480">
        <v>2024</v>
      </c>
      <c r="D480" t="s">
        <v>85</v>
      </c>
      <c r="E480">
        <v>15</v>
      </c>
      <c r="F480">
        <v>10</v>
      </c>
      <c r="G480">
        <v>5</v>
      </c>
      <c r="H480">
        <v>1</v>
      </c>
      <c r="I480" t="s">
        <v>12</v>
      </c>
    </row>
    <row r="481" spans="1:9">
      <c r="A481" t="s">
        <v>9</v>
      </c>
      <c r="B481" t="s">
        <v>10</v>
      </c>
      <c r="C481">
        <v>2023</v>
      </c>
      <c r="D481" t="s">
        <v>11</v>
      </c>
      <c r="E481">
        <v>11</v>
      </c>
      <c r="F481">
        <v>9</v>
      </c>
      <c r="G481">
        <v>2</v>
      </c>
      <c r="H481">
        <v>2</v>
      </c>
      <c r="I481" t="s">
        <v>12</v>
      </c>
    </row>
    <row r="482" spans="1:9">
      <c r="A482" t="s">
        <v>13</v>
      </c>
      <c r="B482" t="s">
        <v>14</v>
      </c>
      <c r="C482">
        <v>2023</v>
      </c>
      <c r="D482" t="s">
        <v>11</v>
      </c>
      <c r="E482">
        <v>7</v>
      </c>
      <c r="F482">
        <v>7</v>
      </c>
      <c r="G482">
        <v>0</v>
      </c>
      <c r="H482">
        <v>6</v>
      </c>
      <c r="I482" t="s">
        <v>12</v>
      </c>
    </row>
    <row r="483" spans="1:9">
      <c r="A483" t="s">
        <v>15</v>
      </c>
      <c r="B483" t="s">
        <v>16</v>
      </c>
      <c r="C483">
        <v>2023</v>
      </c>
      <c r="D483" t="s">
        <v>11</v>
      </c>
      <c r="E483">
        <v>8</v>
      </c>
      <c r="F483">
        <v>15</v>
      </c>
      <c r="G483">
        <v>-7</v>
      </c>
      <c r="H483">
        <v>0</v>
      </c>
      <c r="I483" t="s">
        <v>12</v>
      </c>
    </row>
    <row r="484" spans="1:9">
      <c r="A484" t="s">
        <v>17</v>
      </c>
      <c r="B484" t="s">
        <v>18</v>
      </c>
      <c r="C484">
        <v>2023</v>
      </c>
      <c r="D484" t="s">
        <v>11</v>
      </c>
      <c r="E484">
        <v>9</v>
      </c>
      <c r="F484">
        <v>4</v>
      </c>
      <c r="G484">
        <v>5</v>
      </c>
      <c r="H484">
        <v>12</v>
      </c>
      <c r="I484" t="s">
        <v>12</v>
      </c>
    </row>
    <row r="485" spans="1:9">
      <c r="A485" t="s">
        <v>46</v>
      </c>
      <c r="B485" t="s">
        <v>86</v>
      </c>
      <c r="C485">
        <v>2023</v>
      </c>
      <c r="D485" t="s">
        <v>11</v>
      </c>
      <c r="E485">
        <v>15</v>
      </c>
      <c r="F485">
        <v>11</v>
      </c>
      <c r="G485">
        <v>4</v>
      </c>
      <c r="H485">
        <v>0</v>
      </c>
      <c r="I485" t="s">
        <v>12</v>
      </c>
    </row>
    <row r="486" spans="1:9">
      <c r="A486" t="s">
        <v>20</v>
      </c>
      <c r="B486" t="s">
        <v>87</v>
      </c>
      <c r="C486">
        <v>2023</v>
      </c>
      <c r="D486" t="s">
        <v>11</v>
      </c>
      <c r="E486">
        <v>18</v>
      </c>
      <c r="F486">
        <v>19</v>
      </c>
      <c r="G486">
        <v>-1</v>
      </c>
      <c r="H486">
        <v>0</v>
      </c>
      <c r="I486" t="s">
        <v>24</v>
      </c>
    </row>
    <row r="487" spans="1:9">
      <c r="A487" t="s">
        <v>23</v>
      </c>
      <c r="B487" t="s">
        <v>16</v>
      </c>
      <c r="C487">
        <v>2023</v>
      </c>
      <c r="D487" t="s">
        <v>11</v>
      </c>
      <c r="E487">
        <v>17</v>
      </c>
      <c r="F487">
        <v>20</v>
      </c>
      <c r="G487">
        <v>-3</v>
      </c>
      <c r="H487">
        <v>0</v>
      </c>
      <c r="I487" t="s">
        <v>24</v>
      </c>
    </row>
    <row r="488" spans="1:9">
      <c r="A488" t="s">
        <v>25</v>
      </c>
      <c r="B488" t="s">
        <v>18</v>
      </c>
      <c r="C488">
        <v>2023</v>
      </c>
      <c r="D488" t="s">
        <v>11</v>
      </c>
      <c r="E488">
        <v>1</v>
      </c>
      <c r="F488">
        <v>1</v>
      </c>
      <c r="G488">
        <v>0</v>
      </c>
      <c r="H488">
        <v>26</v>
      </c>
      <c r="I488" t="s">
        <v>12</v>
      </c>
    </row>
    <row r="489" spans="1:9">
      <c r="A489" t="s">
        <v>26</v>
      </c>
      <c r="B489" t="s">
        <v>27</v>
      </c>
      <c r="C489">
        <v>2023</v>
      </c>
      <c r="D489" t="s">
        <v>11</v>
      </c>
      <c r="E489">
        <v>16</v>
      </c>
      <c r="F489">
        <v>18</v>
      </c>
      <c r="G489">
        <v>-2</v>
      </c>
      <c r="H489">
        <v>0</v>
      </c>
      <c r="I489" t="s">
        <v>55</v>
      </c>
    </row>
    <row r="490" spans="1:9">
      <c r="A490" t="s">
        <v>48</v>
      </c>
      <c r="B490" t="s">
        <v>30</v>
      </c>
      <c r="C490">
        <v>2023</v>
      </c>
      <c r="D490" t="s">
        <v>11</v>
      </c>
      <c r="E490">
        <v>12</v>
      </c>
      <c r="F490">
        <v>12</v>
      </c>
      <c r="G490">
        <v>0</v>
      </c>
      <c r="H490">
        <v>0</v>
      </c>
      <c r="I490" t="s">
        <v>12</v>
      </c>
    </row>
    <row r="491" spans="1:9">
      <c r="A491" t="s">
        <v>28</v>
      </c>
      <c r="B491" t="s">
        <v>14</v>
      </c>
      <c r="C491">
        <v>2023</v>
      </c>
      <c r="D491" t="s">
        <v>11</v>
      </c>
      <c r="E491">
        <v>13</v>
      </c>
      <c r="F491">
        <v>10</v>
      </c>
      <c r="G491">
        <v>3</v>
      </c>
      <c r="H491">
        <v>1</v>
      </c>
      <c r="I491" t="s">
        <v>12</v>
      </c>
    </row>
    <row r="492" spans="1:9">
      <c r="A492" t="s">
        <v>29</v>
      </c>
      <c r="B492" t="s">
        <v>30</v>
      </c>
      <c r="C492">
        <v>2023</v>
      </c>
      <c r="D492" t="s">
        <v>11</v>
      </c>
      <c r="E492">
        <v>10</v>
      </c>
      <c r="F492">
        <v>13</v>
      </c>
      <c r="G492">
        <v>-3</v>
      </c>
      <c r="H492">
        <v>0</v>
      </c>
      <c r="I492" t="s">
        <v>12</v>
      </c>
    </row>
    <row r="493" spans="1:9">
      <c r="A493" t="s">
        <v>31</v>
      </c>
      <c r="B493" t="s">
        <v>27</v>
      </c>
      <c r="C493">
        <v>2023</v>
      </c>
      <c r="D493" t="s">
        <v>11</v>
      </c>
      <c r="E493">
        <v>2</v>
      </c>
      <c r="F493">
        <v>2</v>
      </c>
      <c r="G493">
        <v>0</v>
      </c>
      <c r="H493">
        <v>18</v>
      </c>
      <c r="I493" t="s">
        <v>12</v>
      </c>
    </row>
    <row r="494" spans="1:9">
      <c r="A494" t="s">
        <v>32</v>
      </c>
      <c r="B494" t="s">
        <v>33</v>
      </c>
      <c r="C494">
        <v>2023</v>
      </c>
      <c r="D494" t="s">
        <v>11</v>
      </c>
      <c r="E494">
        <v>5</v>
      </c>
      <c r="F494">
        <v>5</v>
      </c>
      <c r="G494">
        <v>0</v>
      </c>
      <c r="H494">
        <v>10</v>
      </c>
      <c r="I494" t="s">
        <v>12</v>
      </c>
    </row>
    <row r="495" spans="1:9">
      <c r="A495" t="s">
        <v>34</v>
      </c>
      <c r="B495" t="s">
        <v>10</v>
      </c>
      <c r="C495">
        <v>2023</v>
      </c>
      <c r="D495" t="s">
        <v>11</v>
      </c>
      <c r="E495">
        <v>4</v>
      </c>
      <c r="F495">
        <v>3</v>
      </c>
      <c r="G495">
        <v>1</v>
      </c>
      <c r="H495">
        <v>15</v>
      </c>
      <c r="I495" t="s">
        <v>12</v>
      </c>
    </row>
    <row r="496" spans="1:9">
      <c r="A496" t="s">
        <v>35</v>
      </c>
      <c r="B496" t="s">
        <v>36</v>
      </c>
      <c r="C496">
        <v>2023</v>
      </c>
      <c r="D496" t="s">
        <v>11</v>
      </c>
      <c r="E496">
        <v>14</v>
      </c>
      <c r="F496">
        <v>14</v>
      </c>
      <c r="G496">
        <v>0</v>
      </c>
      <c r="H496">
        <v>0</v>
      </c>
      <c r="I496" t="s">
        <v>12</v>
      </c>
    </row>
    <row r="497" spans="1:9">
      <c r="A497" t="s">
        <v>37</v>
      </c>
      <c r="B497" t="s">
        <v>86</v>
      </c>
      <c r="C497">
        <v>2023</v>
      </c>
      <c r="D497" t="s">
        <v>11</v>
      </c>
      <c r="E497">
        <v>6</v>
      </c>
      <c r="F497">
        <v>8</v>
      </c>
      <c r="G497">
        <v>-2</v>
      </c>
      <c r="H497">
        <v>4</v>
      </c>
      <c r="I497" t="s">
        <v>12</v>
      </c>
    </row>
    <row r="498" spans="1:9">
      <c r="A498" t="s">
        <v>39</v>
      </c>
      <c r="B498" t="s">
        <v>87</v>
      </c>
      <c r="C498">
        <v>2023</v>
      </c>
      <c r="D498" t="s">
        <v>11</v>
      </c>
      <c r="E498">
        <v>19</v>
      </c>
      <c r="F498">
        <v>17</v>
      </c>
      <c r="G498">
        <v>2</v>
      </c>
      <c r="H498">
        <v>0</v>
      </c>
      <c r="I498" t="s">
        <v>12</v>
      </c>
    </row>
    <row r="499" spans="1:9">
      <c r="A499" t="s">
        <v>40</v>
      </c>
      <c r="B499" t="s">
        <v>33</v>
      </c>
      <c r="C499">
        <v>2023</v>
      </c>
      <c r="D499" t="s">
        <v>11</v>
      </c>
      <c r="E499">
        <v>3</v>
      </c>
      <c r="F499">
        <v>6</v>
      </c>
      <c r="G499">
        <v>-3</v>
      </c>
      <c r="H499">
        <v>8</v>
      </c>
      <c r="I499" t="s">
        <v>12</v>
      </c>
    </row>
    <row r="500" spans="1:9">
      <c r="A500" t="s">
        <v>52</v>
      </c>
      <c r="B500" t="s">
        <v>36</v>
      </c>
      <c r="C500">
        <v>2023</v>
      </c>
      <c r="D500" t="s">
        <v>11</v>
      </c>
      <c r="E500">
        <v>20</v>
      </c>
      <c r="F500">
        <v>16</v>
      </c>
      <c r="G500">
        <v>4</v>
      </c>
      <c r="H500">
        <v>0</v>
      </c>
      <c r="I500" t="s">
        <v>12</v>
      </c>
    </row>
    <row r="501" spans="1:9">
      <c r="A501" t="s">
        <v>9</v>
      </c>
      <c r="B501" t="s">
        <v>10</v>
      </c>
      <c r="C501">
        <v>2023</v>
      </c>
      <c r="D501" t="s">
        <v>45</v>
      </c>
      <c r="E501">
        <v>3</v>
      </c>
      <c r="F501">
        <v>2</v>
      </c>
      <c r="G501">
        <v>1</v>
      </c>
      <c r="H501">
        <v>18</v>
      </c>
      <c r="I501" t="s">
        <v>12</v>
      </c>
    </row>
    <row r="502" spans="1:9">
      <c r="A502" t="s">
        <v>13</v>
      </c>
      <c r="B502" t="s">
        <v>14</v>
      </c>
      <c r="C502">
        <v>2023</v>
      </c>
      <c r="D502" t="s">
        <v>45</v>
      </c>
      <c r="E502">
        <v>4</v>
      </c>
      <c r="F502">
        <v>3</v>
      </c>
      <c r="G502">
        <v>1</v>
      </c>
      <c r="H502">
        <v>15</v>
      </c>
      <c r="I502" t="s">
        <v>12</v>
      </c>
    </row>
    <row r="503" spans="1:9">
      <c r="A503" t="s">
        <v>15</v>
      </c>
      <c r="B503" t="s">
        <v>16</v>
      </c>
      <c r="C503">
        <v>2023</v>
      </c>
      <c r="D503" t="s">
        <v>45</v>
      </c>
      <c r="E503">
        <v>10</v>
      </c>
      <c r="F503">
        <v>7</v>
      </c>
      <c r="G503">
        <v>3</v>
      </c>
      <c r="H503">
        <v>6</v>
      </c>
      <c r="I503" t="s">
        <v>12</v>
      </c>
    </row>
    <row r="504" spans="1:9">
      <c r="A504" t="s">
        <v>17</v>
      </c>
      <c r="B504" t="s">
        <v>18</v>
      </c>
      <c r="C504">
        <v>2023</v>
      </c>
      <c r="D504" t="s">
        <v>45</v>
      </c>
      <c r="E504">
        <v>0</v>
      </c>
      <c r="F504">
        <v>5</v>
      </c>
      <c r="G504">
        <v>-5</v>
      </c>
      <c r="H504">
        <v>11</v>
      </c>
      <c r="I504" t="s">
        <v>12</v>
      </c>
    </row>
    <row r="505" spans="1:9">
      <c r="A505" t="s">
        <v>20</v>
      </c>
      <c r="B505" t="s">
        <v>87</v>
      </c>
      <c r="C505">
        <v>2023</v>
      </c>
      <c r="D505" t="s">
        <v>45</v>
      </c>
      <c r="E505">
        <v>0</v>
      </c>
      <c r="F505">
        <v>11</v>
      </c>
      <c r="G505">
        <v>-11</v>
      </c>
      <c r="H505">
        <v>0</v>
      </c>
      <c r="I505" t="s">
        <v>12</v>
      </c>
    </row>
    <row r="506" spans="1:9">
      <c r="A506" t="s">
        <v>23</v>
      </c>
      <c r="B506" t="s">
        <v>16</v>
      </c>
      <c r="C506">
        <v>2023</v>
      </c>
      <c r="D506" t="s">
        <v>45</v>
      </c>
      <c r="E506">
        <v>14</v>
      </c>
      <c r="F506">
        <v>17</v>
      </c>
      <c r="G506">
        <v>-3</v>
      </c>
      <c r="H506">
        <v>0</v>
      </c>
      <c r="I506" t="s">
        <v>49</v>
      </c>
    </row>
    <row r="507" spans="1:9">
      <c r="A507" t="s">
        <v>25</v>
      </c>
      <c r="B507" t="s">
        <v>18</v>
      </c>
      <c r="C507">
        <v>2023</v>
      </c>
      <c r="D507" t="s">
        <v>45</v>
      </c>
      <c r="E507">
        <v>1</v>
      </c>
      <c r="F507">
        <v>1</v>
      </c>
      <c r="G507">
        <v>0</v>
      </c>
      <c r="H507">
        <v>25</v>
      </c>
      <c r="I507" t="s">
        <v>12</v>
      </c>
    </row>
    <row r="508" spans="1:9">
      <c r="A508" t="s">
        <v>26</v>
      </c>
      <c r="B508" t="s">
        <v>27</v>
      </c>
      <c r="C508">
        <v>2023</v>
      </c>
      <c r="D508" t="s">
        <v>45</v>
      </c>
      <c r="E508">
        <v>5</v>
      </c>
      <c r="F508">
        <v>12</v>
      </c>
      <c r="G508">
        <v>-7</v>
      </c>
      <c r="H508">
        <v>0</v>
      </c>
      <c r="I508" t="s">
        <v>12</v>
      </c>
    </row>
    <row r="509" spans="1:9">
      <c r="A509" t="s">
        <v>48</v>
      </c>
      <c r="B509" t="s">
        <v>30</v>
      </c>
      <c r="C509">
        <v>2023</v>
      </c>
      <c r="D509" t="s">
        <v>45</v>
      </c>
      <c r="E509">
        <v>11</v>
      </c>
      <c r="F509">
        <v>14</v>
      </c>
      <c r="G509">
        <v>-3</v>
      </c>
      <c r="H509">
        <v>0</v>
      </c>
      <c r="I509" t="s">
        <v>19</v>
      </c>
    </row>
    <row r="510" spans="1:9">
      <c r="A510" t="s">
        <v>28</v>
      </c>
      <c r="B510" t="s">
        <v>14</v>
      </c>
      <c r="C510">
        <v>2023</v>
      </c>
      <c r="D510" t="s">
        <v>45</v>
      </c>
      <c r="E510">
        <v>6</v>
      </c>
      <c r="F510">
        <v>4</v>
      </c>
      <c r="G510">
        <v>2</v>
      </c>
      <c r="H510">
        <v>12</v>
      </c>
      <c r="I510" t="s">
        <v>12</v>
      </c>
    </row>
    <row r="511" spans="1:9">
      <c r="A511" t="s">
        <v>29</v>
      </c>
      <c r="B511" t="s">
        <v>30</v>
      </c>
      <c r="C511">
        <v>2023</v>
      </c>
      <c r="D511" t="s">
        <v>45</v>
      </c>
      <c r="E511">
        <v>9</v>
      </c>
      <c r="F511">
        <v>13</v>
      </c>
      <c r="G511">
        <v>-4</v>
      </c>
      <c r="H511">
        <v>0</v>
      </c>
      <c r="I511" t="s">
        <v>19</v>
      </c>
    </row>
    <row r="512" spans="1:9">
      <c r="A512" t="s">
        <v>31</v>
      </c>
      <c r="B512" t="s">
        <v>27</v>
      </c>
      <c r="C512">
        <v>2023</v>
      </c>
      <c r="D512" t="s">
        <v>45</v>
      </c>
      <c r="E512">
        <v>7</v>
      </c>
      <c r="F512">
        <v>20</v>
      </c>
      <c r="G512">
        <v>-13</v>
      </c>
      <c r="H512">
        <v>0</v>
      </c>
      <c r="I512" t="s">
        <v>19</v>
      </c>
    </row>
    <row r="513" spans="1:9">
      <c r="A513" t="s">
        <v>32</v>
      </c>
      <c r="B513" t="s">
        <v>33</v>
      </c>
      <c r="C513">
        <v>2023</v>
      </c>
      <c r="D513" t="s">
        <v>45</v>
      </c>
      <c r="E513">
        <v>13</v>
      </c>
      <c r="F513">
        <v>6</v>
      </c>
      <c r="G513">
        <v>7</v>
      </c>
      <c r="H513">
        <v>8</v>
      </c>
      <c r="I513" t="s">
        <v>12</v>
      </c>
    </row>
    <row r="514" spans="1:9">
      <c r="A514" t="s">
        <v>34</v>
      </c>
      <c r="B514" t="s">
        <v>10</v>
      </c>
      <c r="C514">
        <v>2023</v>
      </c>
      <c r="D514" t="s">
        <v>45</v>
      </c>
      <c r="E514">
        <v>2</v>
      </c>
      <c r="F514">
        <v>18</v>
      </c>
      <c r="G514">
        <v>-16</v>
      </c>
      <c r="H514">
        <v>0</v>
      </c>
      <c r="I514" t="s">
        <v>42</v>
      </c>
    </row>
    <row r="515" spans="1:9">
      <c r="A515" t="s">
        <v>35</v>
      </c>
      <c r="B515" t="s">
        <v>36</v>
      </c>
      <c r="C515">
        <v>2023</v>
      </c>
      <c r="D515" t="s">
        <v>45</v>
      </c>
      <c r="E515">
        <v>8</v>
      </c>
      <c r="F515">
        <v>19</v>
      </c>
      <c r="G515">
        <v>-11</v>
      </c>
      <c r="H515">
        <v>0</v>
      </c>
      <c r="I515" t="s">
        <v>49</v>
      </c>
    </row>
    <row r="516" spans="1:9">
      <c r="A516" t="s">
        <v>37</v>
      </c>
      <c r="B516" t="s">
        <v>86</v>
      </c>
      <c r="C516">
        <v>2023</v>
      </c>
      <c r="D516" t="s">
        <v>45</v>
      </c>
      <c r="E516">
        <v>12</v>
      </c>
      <c r="F516">
        <v>10</v>
      </c>
      <c r="G516">
        <v>2</v>
      </c>
      <c r="H516">
        <v>1</v>
      </c>
      <c r="I516" t="s">
        <v>12</v>
      </c>
    </row>
    <row r="517" spans="1:9">
      <c r="A517" t="s">
        <v>39</v>
      </c>
      <c r="B517" t="s">
        <v>87</v>
      </c>
      <c r="C517">
        <v>2023</v>
      </c>
      <c r="D517" t="s">
        <v>45</v>
      </c>
      <c r="E517">
        <v>17</v>
      </c>
      <c r="F517">
        <v>9</v>
      </c>
      <c r="G517">
        <v>8</v>
      </c>
      <c r="H517">
        <v>2</v>
      </c>
      <c r="I517" t="s">
        <v>12</v>
      </c>
    </row>
    <row r="518" spans="1:9">
      <c r="A518" t="s">
        <v>88</v>
      </c>
      <c r="B518" t="s">
        <v>86</v>
      </c>
      <c r="C518">
        <v>2023</v>
      </c>
      <c r="D518" t="s">
        <v>45</v>
      </c>
      <c r="E518">
        <v>15</v>
      </c>
      <c r="F518">
        <v>15</v>
      </c>
      <c r="G518">
        <v>0</v>
      </c>
      <c r="H518">
        <v>0</v>
      </c>
      <c r="I518" t="s">
        <v>19</v>
      </c>
    </row>
    <row r="519" spans="1:9">
      <c r="A519" t="s">
        <v>40</v>
      </c>
      <c r="B519" t="s">
        <v>33</v>
      </c>
      <c r="C519">
        <v>2023</v>
      </c>
      <c r="D519" t="s">
        <v>45</v>
      </c>
      <c r="E519">
        <v>16</v>
      </c>
      <c r="F519">
        <v>8</v>
      </c>
      <c r="G519">
        <v>8</v>
      </c>
      <c r="H519">
        <v>4</v>
      </c>
      <c r="I519" t="s">
        <v>12</v>
      </c>
    </row>
    <row r="520" spans="1:9">
      <c r="A520" t="s">
        <v>52</v>
      </c>
      <c r="B520" t="s">
        <v>36</v>
      </c>
      <c r="C520">
        <v>2023</v>
      </c>
      <c r="D520" t="s">
        <v>45</v>
      </c>
      <c r="E520">
        <v>18</v>
      </c>
      <c r="F520">
        <v>16</v>
      </c>
      <c r="G520">
        <v>2</v>
      </c>
      <c r="H520">
        <v>0</v>
      </c>
      <c r="I520" t="s">
        <v>19</v>
      </c>
    </row>
    <row r="521" spans="1:9">
      <c r="A521" t="s">
        <v>9</v>
      </c>
      <c r="B521" t="s">
        <v>10</v>
      </c>
      <c r="C521">
        <v>2023</v>
      </c>
      <c r="D521" t="s">
        <v>50</v>
      </c>
      <c r="E521">
        <v>5</v>
      </c>
      <c r="F521">
        <v>8</v>
      </c>
      <c r="G521">
        <v>-3</v>
      </c>
      <c r="H521">
        <v>4</v>
      </c>
      <c r="I521" t="s">
        <v>12</v>
      </c>
    </row>
    <row r="522" spans="1:9">
      <c r="A522" t="s">
        <v>13</v>
      </c>
      <c r="B522" t="s">
        <v>14</v>
      </c>
      <c r="C522">
        <v>2023</v>
      </c>
      <c r="D522" t="s">
        <v>50</v>
      </c>
      <c r="E522">
        <v>7</v>
      </c>
      <c r="F522">
        <v>5</v>
      </c>
      <c r="G522">
        <v>2</v>
      </c>
      <c r="H522">
        <v>10</v>
      </c>
      <c r="I522" t="s">
        <v>12</v>
      </c>
    </row>
    <row r="523" spans="1:9">
      <c r="A523" t="s">
        <v>15</v>
      </c>
      <c r="B523" t="s">
        <v>16</v>
      </c>
      <c r="C523">
        <v>2023</v>
      </c>
      <c r="D523" t="s">
        <v>50</v>
      </c>
      <c r="E523">
        <v>8</v>
      </c>
      <c r="F523">
        <v>20</v>
      </c>
      <c r="G523">
        <v>-12</v>
      </c>
      <c r="H523">
        <v>0</v>
      </c>
      <c r="I523" t="s">
        <v>89</v>
      </c>
    </row>
    <row r="524" spans="1:9">
      <c r="A524" t="s">
        <v>17</v>
      </c>
      <c r="B524" t="s">
        <v>18</v>
      </c>
      <c r="C524">
        <v>2023</v>
      </c>
      <c r="D524" t="s">
        <v>50</v>
      </c>
      <c r="E524">
        <v>15</v>
      </c>
      <c r="F524">
        <v>3</v>
      </c>
      <c r="G524">
        <v>12</v>
      </c>
      <c r="H524">
        <v>15</v>
      </c>
      <c r="I524" t="s">
        <v>12</v>
      </c>
    </row>
    <row r="525" spans="1:9">
      <c r="A525" t="s">
        <v>20</v>
      </c>
      <c r="B525" t="s">
        <v>87</v>
      </c>
      <c r="C525">
        <v>2023</v>
      </c>
      <c r="D525" t="s">
        <v>50</v>
      </c>
      <c r="E525">
        <v>14</v>
      </c>
      <c r="F525">
        <v>15</v>
      </c>
      <c r="G525">
        <v>-1</v>
      </c>
      <c r="H525">
        <v>0</v>
      </c>
      <c r="I525" t="s">
        <v>24</v>
      </c>
    </row>
    <row r="526" spans="1:9">
      <c r="A526" t="s">
        <v>23</v>
      </c>
      <c r="B526" t="s">
        <v>16</v>
      </c>
      <c r="C526">
        <v>2023</v>
      </c>
      <c r="D526" t="s">
        <v>50</v>
      </c>
      <c r="E526">
        <v>0</v>
      </c>
      <c r="F526">
        <v>18</v>
      </c>
      <c r="G526">
        <v>-18</v>
      </c>
      <c r="H526">
        <v>0</v>
      </c>
      <c r="I526" t="s">
        <v>24</v>
      </c>
    </row>
    <row r="527" spans="1:9">
      <c r="A527" t="s">
        <v>25</v>
      </c>
      <c r="B527" t="s">
        <v>18</v>
      </c>
      <c r="C527">
        <v>2023</v>
      </c>
      <c r="D527" t="s">
        <v>50</v>
      </c>
      <c r="E527">
        <v>1</v>
      </c>
      <c r="F527">
        <v>1</v>
      </c>
      <c r="G527">
        <v>0</v>
      </c>
      <c r="H527">
        <v>26</v>
      </c>
      <c r="I527" t="s">
        <v>12</v>
      </c>
    </row>
    <row r="528" spans="1:9">
      <c r="A528" t="s">
        <v>26</v>
      </c>
      <c r="B528" t="s">
        <v>27</v>
      </c>
      <c r="C528">
        <v>2023</v>
      </c>
      <c r="D528" t="s">
        <v>50</v>
      </c>
      <c r="E528">
        <v>3</v>
      </c>
      <c r="F528">
        <v>6</v>
      </c>
      <c r="G528">
        <v>-3</v>
      </c>
      <c r="H528">
        <v>8</v>
      </c>
      <c r="I528" t="s">
        <v>12</v>
      </c>
    </row>
    <row r="529" spans="1:9">
      <c r="A529" t="s">
        <v>48</v>
      </c>
      <c r="B529" t="s">
        <v>30</v>
      </c>
      <c r="C529">
        <v>2023</v>
      </c>
      <c r="D529" t="s">
        <v>50</v>
      </c>
      <c r="E529">
        <v>12</v>
      </c>
      <c r="F529">
        <v>14</v>
      </c>
      <c r="G529">
        <v>-2</v>
      </c>
      <c r="H529">
        <v>0</v>
      </c>
      <c r="I529" t="s">
        <v>24</v>
      </c>
    </row>
    <row r="530" spans="1:9">
      <c r="A530" t="s">
        <v>28</v>
      </c>
      <c r="B530" t="s">
        <v>14</v>
      </c>
      <c r="C530">
        <v>2023</v>
      </c>
      <c r="D530" t="s">
        <v>50</v>
      </c>
      <c r="E530">
        <v>6</v>
      </c>
      <c r="F530">
        <v>9</v>
      </c>
      <c r="G530">
        <v>-3</v>
      </c>
      <c r="H530">
        <v>2</v>
      </c>
      <c r="I530" t="s">
        <v>12</v>
      </c>
    </row>
    <row r="531" spans="1:9">
      <c r="A531" t="s">
        <v>29</v>
      </c>
      <c r="B531" t="s">
        <v>30</v>
      </c>
      <c r="C531">
        <v>2023</v>
      </c>
      <c r="D531" t="s">
        <v>50</v>
      </c>
      <c r="E531">
        <v>9</v>
      </c>
      <c r="F531">
        <v>10</v>
      </c>
      <c r="G531">
        <v>-1</v>
      </c>
      <c r="H531">
        <v>1</v>
      </c>
      <c r="I531" t="s">
        <v>12</v>
      </c>
    </row>
    <row r="532" spans="1:9">
      <c r="A532" t="s">
        <v>31</v>
      </c>
      <c r="B532" t="s">
        <v>27</v>
      </c>
      <c r="C532">
        <v>2023</v>
      </c>
      <c r="D532" t="s">
        <v>50</v>
      </c>
      <c r="E532">
        <v>2</v>
      </c>
      <c r="F532">
        <v>2</v>
      </c>
      <c r="G532">
        <v>0</v>
      </c>
      <c r="H532">
        <v>18</v>
      </c>
      <c r="I532" t="s">
        <v>12</v>
      </c>
    </row>
    <row r="533" spans="1:9">
      <c r="A533" t="s">
        <v>32</v>
      </c>
      <c r="B533" t="s">
        <v>33</v>
      </c>
      <c r="C533">
        <v>2023</v>
      </c>
      <c r="D533" t="s">
        <v>50</v>
      </c>
      <c r="E533">
        <v>4</v>
      </c>
      <c r="F533">
        <v>4</v>
      </c>
      <c r="G533">
        <v>0</v>
      </c>
      <c r="H533">
        <v>12</v>
      </c>
      <c r="I533" t="s">
        <v>12</v>
      </c>
    </row>
    <row r="534" spans="1:9">
      <c r="A534" t="s">
        <v>34</v>
      </c>
      <c r="B534" t="s">
        <v>10</v>
      </c>
      <c r="C534">
        <v>2023</v>
      </c>
      <c r="D534" t="s">
        <v>50</v>
      </c>
      <c r="E534">
        <v>11</v>
      </c>
      <c r="F534">
        <v>7</v>
      </c>
      <c r="G534">
        <v>4</v>
      </c>
      <c r="H534">
        <v>6</v>
      </c>
      <c r="I534" t="s">
        <v>12</v>
      </c>
    </row>
    <row r="535" spans="1:9">
      <c r="A535" t="s">
        <v>35</v>
      </c>
      <c r="B535" t="s">
        <v>36</v>
      </c>
      <c r="C535">
        <v>2023</v>
      </c>
      <c r="D535" t="s">
        <v>50</v>
      </c>
      <c r="E535">
        <v>10</v>
      </c>
      <c r="F535">
        <v>11</v>
      </c>
      <c r="G535">
        <v>-1</v>
      </c>
      <c r="H535">
        <v>0</v>
      </c>
      <c r="I535" t="s">
        <v>12</v>
      </c>
    </row>
    <row r="536" spans="1:9">
      <c r="A536" t="s">
        <v>37</v>
      </c>
      <c r="B536" t="s">
        <v>86</v>
      </c>
      <c r="C536">
        <v>2023</v>
      </c>
      <c r="D536" t="s">
        <v>50</v>
      </c>
      <c r="E536">
        <v>16</v>
      </c>
      <c r="F536">
        <v>19</v>
      </c>
      <c r="G536">
        <v>-3</v>
      </c>
      <c r="H536">
        <v>0</v>
      </c>
      <c r="I536" t="s">
        <v>24</v>
      </c>
    </row>
    <row r="537" spans="1:9">
      <c r="A537" t="s">
        <v>39</v>
      </c>
      <c r="B537" t="s">
        <v>87</v>
      </c>
      <c r="C537">
        <v>2023</v>
      </c>
      <c r="D537" t="s">
        <v>50</v>
      </c>
      <c r="E537">
        <v>17</v>
      </c>
      <c r="F537">
        <v>12</v>
      </c>
      <c r="G537">
        <v>5</v>
      </c>
      <c r="H537">
        <v>0</v>
      </c>
      <c r="I537" t="s">
        <v>24</v>
      </c>
    </row>
    <row r="538" spans="1:9">
      <c r="A538" t="s">
        <v>88</v>
      </c>
      <c r="B538" t="s">
        <v>86</v>
      </c>
      <c r="C538">
        <v>2023</v>
      </c>
      <c r="D538" t="s">
        <v>50</v>
      </c>
      <c r="E538">
        <v>0</v>
      </c>
      <c r="F538">
        <v>17</v>
      </c>
      <c r="G538">
        <v>-17</v>
      </c>
      <c r="H538">
        <v>0</v>
      </c>
      <c r="I538" t="s">
        <v>24</v>
      </c>
    </row>
    <row r="539" spans="1:9">
      <c r="A539" t="s">
        <v>40</v>
      </c>
      <c r="B539" t="s">
        <v>33</v>
      </c>
      <c r="C539">
        <v>2023</v>
      </c>
      <c r="D539" t="s">
        <v>50</v>
      </c>
      <c r="E539">
        <v>13</v>
      </c>
      <c r="F539">
        <v>16</v>
      </c>
      <c r="G539">
        <v>-3</v>
      </c>
      <c r="H539">
        <v>0</v>
      </c>
      <c r="I539" t="s">
        <v>24</v>
      </c>
    </row>
    <row r="540" spans="1:9">
      <c r="A540" t="s">
        <v>52</v>
      </c>
      <c r="B540" t="s">
        <v>36</v>
      </c>
      <c r="C540">
        <v>2023</v>
      </c>
      <c r="D540" t="s">
        <v>50</v>
      </c>
      <c r="E540">
        <v>18</v>
      </c>
      <c r="F540">
        <v>13</v>
      </c>
      <c r="G540">
        <v>5</v>
      </c>
      <c r="H540">
        <v>0</v>
      </c>
      <c r="I540" t="s">
        <v>24</v>
      </c>
    </row>
    <row r="541" spans="1:9">
      <c r="A541" t="s">
        <v>9</v>
      </c>
      <c r="B541" t="s">
        <v>10</v>
      </c>
      <c r="C541">
        <v>2023</v>
      </c>
      <c r="D541" t="s">
        <v>54</v>
      </c>
      <c r="E541">
        <v>5</v>
      </c>
      <c r="F541">
        <v>6</v>
      </c>
      <c r="G541">
        <v>-1</v>
      </c>
      <c r="H541">
        <v>8</v>
      </c>
      <c r="I541" t="s">
        <v>12</v>
      </c>
    </row>
    <row r="542" spans="1:9">
      <c r="A542" t="s">
        <v>13</v>
      </c>
      <c r="B542" t="s">
        <v>14</v>
      </c>
      <c r="C542">
        <v>2023</v>
      </c>
      <c r="D542" t="s">
        <v>54</v>
      </c>
      <c r="E542">
        <v>6</v>
      </c>
      <c r="F542">
        <v>4</v>
      </c>
      <c r="G542">
        <v>2</v>
      </c>
      <c r="H542">
        <v>12</v>
      </c>
      <c r="I542" t="s">
        <v>12</v>
      </c>
    </row>
    <row r="543" spans="1:9">
      <c r="A543" t="s">
        <v>15</v>
      </c>
      <c r="B543" t="s">
        <v>16</v>
      </c>
      <c r="C543">
        <v>2023</v>
      </c>
      <c r="D543" t="s">
        <v>54</v>
      </c>
      <c r="E543">
        <v>0</v>
      </c>
      <c r="F543">
        <v>17</v>
      </c>
      <c r="G543">
        <v>-17</v>
      </c>
      <c r="H543">
        <v>0</v>
      </c>
      <c r="I543" t="s">
        <v>24</v>
      </c>
    </row>
    <row r="544" spans="1:9">
      <c r="A544" t="s">
        <v>17</v>
      </c>
      <c r="B544" t="s">
        <v>18</v>
      </c>
      <c r="C544">
        <v>2023</v>
      </c>
      <c r="D544" t="s">
        <v>54</v>
      </c>
      <c r="E544">
        <v>3</v>
      </c>
      <c r="F544">
        <v>1</v>
      </c>
      <c r="G544">
        <v>2</v>
      </c>
      <c r="H544">
        <v>25</v>
      </c>
      <c r="I544" t="s">
        <v>12</v>
      </c>
    </row>
    <row r="545" spans="1:9">
      <c r="A545" t="s">
        <v>20</v>
      </c>
      <c r="B545" t="s">
        <v>87</v>
      </c>
      <c r="C545">
        <v>2023</v>
      </c>
      <c r="D545" t="s">
        <v>54</v>
      </c>
      <c r="E545">
        <v>13</v>
      </c>
      <c r="F545">
        <v>18</v>
      </c>
      <c r="G545">
        <v>-5</v>
      </c>
      <c r="H545">
        <v>0</v>
      </c>
      <c r="I545" t="s">
        <v>24</v>
      </c>
    </row>
    <row r="546" spans="1:9">
      <c r="A546" t="s">
        <v>23</v>
      </c>
      <c r="B546" t="s">
        <v>16</v>
      </c>
      <c r="C546">
        <v>2023</v>
      </c>
      <c r="D546" t="s">
        <v>54</v>
      </c>
      <c r="E546">
        <v>16</v>
      </c>
      <c r="F546">
        <v>13</v>
      </c>
      <c r="G546">
        <v>3</v>
      </c>
      <c r="H546">
        <v>0</v>
      </c>
      <c r="I546" t="s">
        <v>12</v>
      </c>
    </row>
    <row r="547" spans="1:9">
      <c r="A547" t="s">
        <v>25</v>
      </c>
      <c r="B547" t="s">
        <v>18</v>
      </c>
      <c r="C547">
        <v>2023</v>
      </c>
      <c r="D547" t="s">
        <v>54</v>
      </c>
      <c r="E547">
        <v>2</v>
      </c>
      <c r="F547">
        <v>2</v>
      </c>
      <c r="G547">
        <v>0</v>
      </c>
      <c r="H547">
        <v>18</v>
      </c>
      <c r="I547" t="s">
        <v>12</v>
      </c>
    </row>
    <row r="548" spans="1:9">
      <c r="A548" t="s">
        <v>26</v>
      </c>
      <c r="B548" t="s">
        <v>27</v>
      </c>
      <c r="C548">
        <v>2023</v>
      </c>
      <c r="D548" t="s">
        <v>54</v>
      </c>
      <c r="E548">
        <v>4</v>
      </c>
      <c r="F548">
        <v>5</v>
      </c>
      <c r="G548">
        <v>-1</v>
      </c>
      <c r="H548">
        <v>10</v>
      </c>
      <c r="I548" t="s">
        <v>12</v>
      </c>
    </row>
    <row r="549" spans="1:9">
      <c r="A549" t="s">
        <v>48</v>
      </c>
      <c r="B549" t="s">
        <v>30</v>
      </c>
      <c r="C549">
        <v>2023</v>
      </c>
      <c r="D549" t="s">
        <v>54</v>
      </c>
      <c r="E549">
        <v>0</v>
      </c>
      <c r="F549">
        <v>15</v>
      </c>
      <c r="G549">
        <v>-15</v>
      </c>
      <c r="H549">
        <v>0</v>
      </c>
      <c r="I549" t="s">
        <v>12</v>
      </c>
    </row>
    <row r="550" spans="1:9">
      <c r="A550" t="s">
        <v>28</v>
      </c>
      <c r="B550" t="s">
        <v>14</v>
      </c>
      <c r="C550">
        <v>2023</v>
      </c>
      <c r="D550" t="s">
        <v>54</v>
      </c>
      <c r="E550">
        <v>9</v>
      </c>
      <c r="F550">
        <v>7</v>
      </c>
      <c r="G550">
        <v>2</v>
      </c>
      <c r="H550">
        <v>6</v>
      </c>
      <c r="I550" t="s">
        <v>12</v>
      </c>
    </row>
    <row r="551" spans="1:9">
      <c r="A551" t="s">
        <v>29</v>
      </c>
      <c r="B551" t="s">
        <v>30</v>
      </c>
      <c r="C551">
        <v>2023</v>
      </c>
      <c r="D551" t="s">
        <v>54</v>
      </c>
      <c r="E551">
        <v>17</v>
      </c>
      <c r="F551">
        <v>14</v>
      </c>
      <c r="G551">
        <v>3</v>
      </c>
      <c r="H551">
        <v>0</v>
      </c>
      <c r="I551" t="s">
        <v>12</v>
      </c>
    </row>
    <row r="552" spans="1:9">
      <c r="A552" t="s">
        <v>31</v>
      </c>
      <c r="B552" t="s">
        <v>27</v>
      </c>
      <c r="C552">
        <v>2023</v>
      </c>
      <c r="D552" t="s">
        <v>54</v>
      </c>
      <c r="E552">
        <v>1</v>
      </c>
      <c r="F552">
        <v>3</v>
      </c>
      <c r="G552">
        <v>-2</v>
      </c>
      <c r="H552">
        <v>15</v>
      </c>
      <c r="I552" t="s">
        <v>12</v>
      </c>
    </row>
    <row r="553" spans="1:9">
      <c r="A553" t="s">
        <v>32</v>
      </c>
      <c r="B553" t="s">
        <v>33</v>
      </c>
      <c r="C553">
        <v>2023</v>
      </c>
      <c r="D553" t="s">
        <v>54</v>
      </c>
      <c r="E553">
        <v>7</v>
      </c>
      <c r="F553">
        <v>9</v>
      </c>
      <c r="G553">
        <v>-2</v>
      </c>
      <c r="H553">
        <v>2</v>
      </c>
      <c r="I553" t="s">
        <v>12</v>
      </c>
    </row>
    <row r="554" spans="1:9">
      <c r="A554" t="s">
        <v>34</v>
      </c>
      <c r="B554" t="s">
        <v>10</v>
      </c>
      <c r="C554">
        <v>2023</v>
      </c>
      <c r="D554" t="s">
        <v>54</v>
      </c>
      <c r="E554">
        <v>11</v>
      </c>
      <c r="F554">
        <v>8</v>
      </c>
      <c r="G554">
        <v>3</v>
      </c>
      <c r="H554">
        <v>5</v>
      </c>
      <c r="I554" t="s">
        <v>12</v>
      </c>
    </row>
    <row r="555" spans="1:9">
      <c r="A555" t="s">
        <v>35</v>
      </c>
      <c r="B555" t="s">
        <v>36</v>
      </c>
      <c r="C555">
        <v>2023</v>
      </c>
      <c r="D555" t="s">
        <v>54</v>
      </c>
      <c r="E555">
        <v>12</v>
      </c>
      <c r="F555">
        <v>12</v>
      </c>
      <c r="G555">
        <v>0</v>
      </c>
      <c r="H555">
        <v>0</v>
      </c>
      <c r="I555" t="s">
        <v>12</v>
      </c>
    </row>
    <row r="556" spans="1:9">
      <c r="A556" t="s">
        <v>37</v>
      </c>
      <c r="B556" t="s">
        <v>86</v>
      </c>
      <c r="C556">
        <v>2023</v>
      </c>
      <c r="D556" t="s">
        <v>54</v>
      </c>
      <c r="E556">
        <v>8</v>
      </c>
      <c r="F556">
        <v>10</v>
      </c>
      <c r="G556">
        <v>-2</v>
      </c>
      <c r="H556">
        <v>1</v>
      </c>
      <c r="I556" t="s">
        <v>12</v>
      </c>
    </row>
    <row r="557" spans="1:9">
      <c r="A557" t="s">
        <v>39</v>
      </c>
      <c r="B557" t="s">
        <v>87</v>
      </c>
      <c r="C557">
        <v>2023</v>
      </c>
      <c r="D557" t="s">
        <v>54</v>
      </c>
      <c r="E557">
        <v>15</v>
      </c>
      <c r="F557">
        <v>19</v>
      </c>
      <c r="G557">
        <v>-4</v>
      </c>
      <c r="H557">
        <v>0</v>
      </c>
      <c r="I557" t="s">
        <v>70</v>
      </c>
    </row>
    <row r="558" spans="1:9">
      <c r="A558" t="s">
        <v>88</v>
      </c>
      <c r="B558" t="s">
        <v>86</v>
      </c>
      <c r="C558">
        <v>2023</v>
      </c>
      <c r="D558" t="s">
        <v>54</v>
      </c>
      <c r="E558">
        <v>18</v>
      </c>
      <c r="F558">
        <v>20</v>
      </c>
      <c r="G558">
        <v>-2</v>
      </c>
      <c r="H558">
        <v>0</v>
      </c>
      <c r="I558" t="s">
        <v>49</v>
      </c>
    </row>
    <row r="559" spans="1:9">
      <c r="A559" t="s">
        <v>40</v>
      </c>
      <c r="B559" t="s">
        <v>33</v>
      </c>
      <c r="C559">
        <v>2023</v>
      </c>
      <c r="D559" t="s">
        <v>54</v>
      </c>
      <c r="E559">
        <v>10</v>
      </c>
      <c r="F559">
        <v>11</v>
      </c>
      <c r="G559">
        <v>-1</v>
      </c>
      <c r="H559">
        <v>0</v>
      </c>
      <c r="I559" t="s">
        <v>12</v>
      </c>
    </row>
    <row r="560" spans="1:9">
      <c r="A560" t="s">
        <v>52</v>
      </c>
      <c r="B560" t="s">
        <v>36</v>
      </c>
      <c r="C560">
        <v>2023</v>
      </c>
      <c r="D560" t="s">
        <v>54</v>
      </c>
      <c r="E560">
        <v>14</v>
      </c>
      <c r="F560">
        <v>16</v>
      </c>
      <c r="G560">
        <v>-2</v>
      </c>
      <c r="H560">
        <v>0</v>
      </c>
      <c r="I560" t="s">
        <v>12</v>
      </c>
    </row>
    <row r="561" spans="1:9">
      <c r="A561" t="s">
        <v>9</v>
      </c>
      <c r="B561" t="s">
        <v>10</v>
      </c>
      <c r="C561">
        <v>2023</v>
      </c>
      <c r="D561" t="s">
        <v>57</v>
      </c>
      <c r="E561">
        <v>7</v>
      </c>
      <c r="F561">
        <v>5</v>
      </c>
      <c r="G561">
        <v>2</v>
      </c>
      <c r="H561">
        <v>10</v>
      </c>
      <c r="I561" t="s">
        <v>12</v>
      </c>
    </row>
    <row r="562" spans="1:9">
      <c r="A562" t="s">
        <v>13</v>
      </c>
      <c r="B562" t="s">
        <v>14</v>
      </c>
      <c r="C562">
        <v>2023</v>
      </c>
      <c r="D562" t="s">
        <v>57</v>
      </c>
      <c r="E562">
        <v>5</v>
      </c>
      <c r="F562">
        <v>3</v>
      </c>
      <c r="G562">
        <v>2</v>
      </c>
      <c r="H562">
        <v>15</v>
      </c>
      <c r="I562" t="s">
        <v>12</v>
      </c>
    </row>
    <row r="563" spans="1:9">
      <c r="A563" t="s">
        <v>15</v>
      </c>
      <c r="B563" t="s">
        <v>16</v>
      </c>
      <c r="C563">
        <v>2023</v>
      </c>
      <c r="D563" t="s">
        <v>57</v>
      </c>
      <c r="E563">
        <v>10</v>
      </c>
      <c r="F563">
        <v>15</v>
      </c>
      <c r="G563">
        <v>-5</v>
      </c>
      <c r="H563">
        <v>0</v>
      </c>
      <c r="I563" t="s">
        <v>24</v>
      </c>
    </row>
    <row r="564" spans="1:9">
      <c r="A564" t="s">
        <v>17</v>
      </c>
      <c r="B564" t="s">
        <v>18</v>
      </c>
      <c r="C564">
        <v>2023</v>
      </c>
      <c r="D564" t="s">
        <v>57</v>
      </c>
      <c r="E564">
        <v>2</v>
      </c>
      <c r="F564">
        <v>2</v>
      </c>
      <c r="G564">
        <v>0</v>
      </c>
      <c r="H564">
        <v>18</v>
      </c>
      <c r="I564" t="s">
        <v>12</v>
      </c>
    </row>
    <row r="565" spans="1:9">
      <c r="A565" t="s">
        <v>20</v>
      </c>
      <c r="B565" t="s">
        <v>87</v>
      </c>
      <c r="C565">
        <v>2023</v>
      </c>
      <c r="D565" t="s">
        <v>57</v>
      </c>
      <c r="E565">
        <v>12</v>
      </c>
      <c r="F565">
        <v>8</v>
      </c>
      <c r="G565">
        <v>4</v>
      </c>
      <c r="H565">
        <v>4</v>
      </c>
      <c r="I565" t="s">
        <v>12</v>
      </c>
    </row>
    <row r="566" spans="1:9">
      <c r="A566" t="s">
        <v>23</v>
      </c>
      <c r="B566" t="s">
        <v>16</v>
      </c>
      <c r="C566">
        <v>2023</v>
      </c>
      <c r="D566" t="s">
        <v>57</v>
      </c>
      <c r="E566">
        <v>17</v>
      </c>
      <c r="F566">
        <v>13</v>
      </c>
      <c r="G566">
        <v>4</v>
      </c>
      <c r="H566">
        <v>0</v>
      </c>
      <c r="I566" t="s">
        <v>24</v>
      </c>
    </row>
    <row r="567" spans="1:9">
      <c r="A567" t="s">
        <v>25</v>
      </c>
      <c r="B567" t="s">
        <v>18</v>
      </c>
      <c r="C567">
        <v>2023</v>
      </c>
      <c r="D567" t="s">
        <v>57</v>
      </c>
      <c r="E567">
        <v>1</v>
      </c>
      <c r="F567">
        <v>1</v>
      </c>
      <c r="G567">
        <v>0</v>
      </c>
      <c r="H567">
        <v>25</v>
      </c>
      <c r="I567" t="s">
        <v>12</v>
      </c>
    </row>
    <row r="568" spans="1:9">
      <c r="A568" t="s">
        <v>26</v>
      </c>
      <c r="B568" t="s">
        <v>27</v>
      </c>
      <c r="C568">
        <v>2023</v>
      </c>
      <c r="D568" t="s">
        <v>57</v>
      </c>
      <c r="E568">
        <v>4</v>
      </c>
      <c r="F568">
        <v>4</v>
      </c>
      <c r="G568">
        <v>0</v>
      </c>
      <c r="H568">
        <v>12</v>
      </c>
      <c r="I568" t="s">
        <v>12</v>
      </c>
    </row>
    <row r="569" spans="1:9">
      <c r="A569" t="s">
        <v>48</v>
      </c>
      <c r="B569" t="s">
        <v>30</v>
      </c>
      <c r="C569">
        <v>2023</v>
      </c>
      <c r="D569" t="s">
        <v>57</v>
      </c>
      <c r="E569">
        <v>9</v>
      </c>
      <c r="F569">
        <v>18</v>
      </c>
      <c r="G569">
        <v>-9</v>
      </c>
      <c r="H569">
        <v>0</v>
      </c>
      <c r="I569" t="s">
        <v>90</v>
      </c>
    </row>
    <row r="570" spans="1:9">
      <c r="A570" t="s">
        <v>28</v>
      </c>
      <c r="B570" t="s">
        <v>14</v>
      </c>
      <c r="C570">
        <v>2023</v>
      </c>
      <c r="D570" t="s">
        <v>57</v>
      </c>
      <c r="E570">
        <v>8</v>
      </c>
      <c r="F570">
        <v>6</v>
      </c>
      <c r="G570">
        <v>2</v>
      </c>
      <c r="H570">
        <v>8</v>
      </c>
      <c r="I570" t="s">
        <v>12</v>
      </c>
    </row>
    <row r="571" spans="1:9">
      <c r="A571" t="s">
        <v>29</v>
      </c>
      <c r="B571" t="s">
        <v>30</v>
      </c>
      <c r="C571">
        <v>2023</v>
      </c>
      <c r="D571" t="s">
        <v>57</v>
      </c>
      <c r="E571">
        <v>20</v>
      </c>
      <c r="F571">
        <v>9</v>
      </c>
      <c r="G571">
        <v>11</v>
      </c>
      <c r="H571">
        <v>2</v>
      </c>
      <c r="I571" t="s">
        <v>12</v>
      </c>
    </row>
    <row r="572" spans="1:9">
      <c r="A572" t="s">
        <v>31</v>
      </c>
      <c r="B572" t="s">
        <v>27</v>
      </c>
      <c r="C572">
        <v>2023</v>
      </c>
      <c r="D572" t="s">
        <v>57</v>
      </c>
      <c r="E572">
        <v>3</v>
      </c>
      <c r="F572">
        <v>19</v>
      </c>
      <c r="G572">
        <v>-16</v>
      </c>
      <c r="H572">
        <v>0</v>
      </c>
      <c r="I572" t="s">
        <v>42</v>
      </c>
    </row>
    <row r="573" spans="1:9">
      <c r="A573" t="s">
        <v>32</v>
      </c>
      <c r="B573" t="s">
        <v>33</v>
      </c>
      <c r="C573">
        <v>2023</v>
      </c>
      <c r="D573" t="s">
        <v>57</v>
      </c>
      <c r="E573">
        <v>11</v>
      </c>
      <c r="F573">
        <v>17</v>
      </c>
      <c r="G573">
        <v>-6</v>
      </c>
      <c r="H573">
        <v>0</v>
      </c>
      <c r="I573" t="s">
        <v>53</v>
      </c>
    </row>
    <row r="574" spans="1:9">
      <c r="A574" t="s">
        <v>34</v>
      </c>
      <c r="B574" t="s">
        <v>10</v>
      </c>
      <c r="C574">
        <v>2023</v>
      </c>
      <c r="D574" t="s">
        <v>57</v>
      </c>
      <c r="E574">
        <v>6</v>
      </c>
      <c r="F574">
        <v>7</v>
      </c>
      <c r="G574">
        <v>-1</v>
      </c>
      <c r="H574">
        <v>6</v>
      </c>
      <c r="I574" t="s">
        <v>12</v>
      </c>
    </row>
    <row r="575" spans="1:9">
      <c r="A575" t="s">
        <v>35</v>
      </c>
      <c r="B575" t="s">
        <v>36</v>
      </c>
      <c r="C575">
        <v>2023</v>
      </c>
      <c r="D575" t="s">
        <v>57</v>
      </c>
      <c r="E575">
        <v>15</v>
      </c>
      <c r="F575">
        <v>10</v>
      </c>
      <c r="G575">
        <v>5</v>
      </c>
      <c r="H575">
        <v>1</v>
      </c>
      <c r="I575" t="s">
        <v>12</v>
      </c>
    </row>
    <row r="576" spans="1:9">
      <c r="A576" t="s">
        <v>37</v>
      </c>
      <c r="B576" t="s">
        <v>86</v>
      </c>
      <c r="C576">
        <v>2023</v>
      </c>
      <c r="D576" t="s">
        <v>57</v>
      </c>
      <c r="E576">
        <v>14</v>
      </c>
      <c r="F576">
        <v>11</v>
      </c>
      <c r="G576">
        <v>3</v>
      </c>
      <c r="H576">
        <v>0</v>
      </c>
      <c r="I576" t="s">
        <v>12</v>
      </c>
    </row>
    <row r="577" spans="1:9">
      <c r="A577" t="s">
        <v>39</v>
      </c>
      <c r="B577" t="s">
        <v>87</v>
      </c>
      <c r="C577">
        <v>2023</v>
      </c>
      <c r="D577" t="s">
        <v>57</v>
      </c>
      <c r="E577">
        <v>13</v>
      </c>
      <c r="F577">
        <v>16</v>
      </c>
      <c r="G577">
        <v>-3</v>
      </c>
      <c r="H577">
        <v>0</v>
      </c>
      <c r="I577" t="s">
        <v>24</v>
      </c>
    </row>
    <row r="578" spans="1:9">
      <c r="A578" t="s">
        <v>88</v>
      </c>
      <c r="B578" t="s">
        <v>86</v>
      </c>
      <c r="C578">
        <v>2023</v>
      </c>
      <c r="D578" t="s">
        <v>57</v>
      </c>
      <c r="E578">
        <v>19</v>
      </c>
      <c r="F578">
        <v>14</v>
      </c>
      <c r="G578">
        <v>5</v>
      </c>
      <c r="H578">
        <v>0</v>
      </c>
      <c r="I578" t="s">
        <v>24</v>
      </c>
    </row>
    <row r="579" spans="1:9">
      <c r="A579" t="s">
        <v>40</v>
      </c>
      <c r="B579" t="s">
        <v>33</v>
      </c>
      <c r="C579">
        <v>2023</v>
      </c>
      <c r="D579" t="s">
        <v>57</v>
      </c>
      <c r="E579">
        <v>18</v>
      </c>
      <c r="F579">
        <v>20</v>
      </c>
      <c r="G579">
        <v>-2</v>
      </c>
      <c r="H579">
        <v>0</v>
      </c>
      <c r="I579" t="s">
        <v>91</v>
      </c>
    </row>
    <row r="580" spans="1:9">
      <c r="A580" t="s">
        <v>52</v>
      </c>
      <c r="B580" t="s">
        <v>36</v>
      </c>
      <c r="C580">
        <v>2023</v>
      </c>
      <c r="D580" t="s">
        <v>57</v>
      </c>
      <c r="E580">
        <v>16</v>
      </c>
      <c r="F580">
        <v>12</v>
      </c>
      <c r="G580">
        <v>4</v>
      </c>
      <c r="H580">
        <v>0</v>
      </c>
      <c r="I580" t="s">
        <v>24</v>
      </c>
    </row>
    <row r="581" spans="1:9">
      <c r="A581" t="s">
        <v>9</v>
      </c>
      <c r="B581" t="s">
        <v>10</v>
      </c>
      <c r="C581">
        <v>2023</v>
      </c>
      <c r="D581" t="s">
        <v>58</v>
      </c>
      <c r="E581">
        <v>3</v>
      </c>
      <c r="F581">
        <v>4</v>
      </c>
      <c r="G581">
        <v>-1</v>
      </c>
      <c r="H581">
        <v>13</v>
      </c>
      <c r="I581" t="s">
        <v>12</v>
      </c>
    </row>
    <row r="582" spans="1:9">
      <c r="A582" t="s">
        <v>13</v>
      </c>
      <c r="B582" t="s">
        <v>14</v>
      </c>
      <c r="C582">
        <v>2023</v>
      </c>
      <c r="D582" t="s">
        <v>58</v>
      </c>
      <c r="E582">
        <v>9</v>
      </c>
      <c r="F582">
        <v>5</v>
      </c>
      <c r="G582">
        <v>4</v>
      </c>
      <c r="H582">
        <v>10</v>
      </c>
      <c r="I582" t="s">
        <v>12</v>
      </c>
    </row>
    <row r="583" spans="1:9">
      <c r="A583" t="s">
        <v>15</v>
      </c>
      <c r="B583" t="s">
        <v>16</v>
      </c>
      <c r="C583">
        <v>2023</v>
      </c>
      <c r="D583" t="s">
        <v>58</v>
      </c>
      <c r="E583">
        <v>0</v>
      </c>
      <c r="F583">
        <v>18</v>
      </c>
      <c r="G583">
        <v>-18</v>
      </c>
      <c r="H583">
        <v>0</v>
      </c>
      <c r="I583" t="s">
        <v>12</v>
      </c>
    </row>
    <row r="584" spans="1:9">
      <c r="A584" t="s">
        <v>17</v>
      </c>
      <c r="B584" t="s">
        <v>18</v>
      </c>
      <c r="C584">
        <v>2023</v>
      </c>
      <c r="D584" t="s">
        <v>58</v>
      </c>
      <c r="E584">
        <v>2</v>
      </c>
      <c r="F584">
        <v>2</v>
      </c>
      <c r="G584">
        <v>0</v>
      </c>
      <c r="H584">
        <v>18</v>
      </c>
      <c r="I584" t="s">
        <v>12</v>
      </c>
    </row>
    <row r="585" spans="1:9">
      <c r="A585" t="s">
        <v>46</v>
      </c>
      <c r="B585" t="s">
        <v>86</v>
      </c>
      <c r="C585">
        <v>2023</v>
      </c>
      <c r="D585" t="s">
        <v>58</v>
      </c>
      <c r="E585">
        <v>19</v>
      </c>
      <c r="F585">
        <v>16</v>
      </c>
      <c r="G585">
        <v>3</v>
      </c>
      <c r="H585">
        <v>0</v>
      </c>
      <c r="I585" t="s">
        <v>12</v>
      </c>
    </row>
    <row r="586" spans="1:9">
      <c r="A586" t="s">
        <v>20</v>
      </c>
      <c r="B586" t="s">
        <v>87</v>
      </c>
      <c r="C586">
        <v>2023</v>
      </c>
      <c r="D586" t="s">
        <v>58</v>
      </c>
      <c r="E586">
        <v>13</v>
      </c>
      <c r="F586">
        <v>12</v>
      </c>
      <c r="G586">
        <v>1</v>
      </c>
      <c r="H586">
        <v>0</v>
      </c>
      <c r="I586" t="s">
        <v>12</v>
      </c>
    </row>
    <row r="587" spans="1:9">
      <c r="A587" t="s">
        <v>23</v>
      </c>
      <c r="B587" t="s">
        <v>16</v>
      </c>
      <c r="C587">
        <v>2023</v>
      </c>
      <c r="D587" t="s">
        <v>58</v>
      </c>
      <c r="E587">
        <v>16</v>
      </c>
      <c r="F587">
        <v>15</v>
      </c>
      <c r="G587">
        <v>1</v>
      </c>
      <c r="H587">
        <v>0</v>
      </c>
      <c r="I587" t="s">
        <v>12</v>
      </c>
    </row>
    <row r="588" spans="1:9">
      <c r="A588" t="s">
        <v>25</v>
      </c>
      <c r="B588" t="s">
        <v>18</v>
      </c>
      <c r="C588">
        <v>2023</v>
      </c>
      <c r="D588" t="s">
        <v>58</v>
      </c>
      <c r="E588">
        <v>6</v>
      </c>
      <c r="F588">
        <v>1</v>
      </c>
      <c r="G588">
        <v>5</v>
      </c>
      <c r="H588">
        <v>25</v>
      </c>
      <c r="I588" t="s">
        <v>12</v>
      </c>
    </row>
    <row r="589" spans="1:9">
      <c r="A589" t="s">
        <v>26</v>
      </c>
      <c r="B589" t="s">
        <v>27</v>
      </c>
      <c r="C589">
        <v>2023</v>
      </c>
      <c r="D589" t="s">
        <v>58</v>
      </c>
      <c r="E589">
        <v>4</v>
      </c>
      <c r="F589">
        <v>19</v>
      </c>
      <c r="G589">
        <v>-15</v>
      </c>
      <c r="H589">
        <v>0</v>
      </c>
      <c r="I589" t="s">
        <v>22</v>
      </c>
    </row>
    <row r="590" spans="1:9">
      <c r="A590" t="s">
        <v>48</v>
      </c>
      <c r="B590" t="s">
        <v>30</v>
      </c>
      <c r="C590">
        <v>2023</v>
      </c>
      <c r="D590" t="s">
        <v>58</v>
      </c>
      <c r="E590">
        <v>14</v>
      </c>
      <c r="F590">
        <v>8</v>
      </c>
      <c r="G590">
        <v>6</v>
      </c>
      <c r="H590">
        <v>4</v>
      </c>
      <c r="I590" t="s">
        <v>12</v>
      </c>
    </row>
    <row r="591" spans="1:9">
      <c r="A591" t="s">
        <v>28</v>
      </c>
      <c r="B591" t="s">
        <v>14</v>
      </c>
      <c r="C591">
        <v>2023</v>
      </c>
      <c r="D591" t="s">
        <v>58</v>
      </c>
      <c r="E591">
        <v>10</v>
      </c>
      <c r="F591">
        <v>9</v>
      </c>
      <c r="G591">
        <v>1</v>
      </c>
      <c r="H591">
        <v>2</v>
      </c>
      <c r="I591" t="s">
        <v>12</v>
      </c>
    </row>
    <row r="592" spans="1:9">
      <c r="A592" t="s">
        <v>29</v>
      </c>
      <c r="B592" t="s">
        <v>30</v>
      </c>
      <c r="C592">
        <v>2023</v>
      </c>
      <c r="D592" t="s">
        <v>58</v>
      </c>
      <c r="E592">
        <v>12</v>
      </c>
      <c r="F592">
        <v>11</v>
      </c>
      <c r="G592">
        <v>1</v>
      </c>
      <c r="H592">
        <v>0</v>
      </c>
      <c r="I592" t="s">
        <v>12</v>
      </c>
    </row>
    <row r="593" spans="1:9">
      <c r="A593" t="s">
        <v>31</v>
      </c>
      <c r="B593" t="s">
        <v>27</v>
      </c>
      <c r="C593">
        <v>2023</v>
      </c>
      <c r="D593" t="s">
        <v>58</v>
      </c>
      <c r="E593">
        <v>1</v>
      </c>
      <c r="F593">
        <v>3</v>
      </c>
      <c r="G593">
        <v>-2</v>
      </c>
      <c r="H593">
        <v>15</v>
      </c>
      <c r="I593" t="s">
        <v>12</v>
      </c>
    </row>
    <row r="594" spans="1:9">
      <c r="A594" t="s">
        <v>32</v>
      </c>
      <c r="B594" t="s">
        <v>33</v>
      </c>
      <c r="C594">
        <v>2023</v>
      </c>
      <c r="D594" t="s">
        <v>58</v>
      </c>
      <c r="E594">
        <v>7</v>
      </c>
      <c r="F594">
        <v>7</v>
      </c>
      <c r="G594">
        <v>0</v>
      </c>
      <c r="H594">
        <v>6</v>
      </c>
      <c r="I594" t="s">
        <v>12</v>
      </c>
    </row>
    <row r="595" spans="1:9">
      <c r="A595" t="s">
        <v>34</v>
      </c>
      <c r="B595" t="s">
        <v>10</v>
      </c>
      <c r="C595">
        <v>2023</v>
      </c>
      <c r="D595" t="s">
        <v>58</v>
      </c>
      <c r="E595">
        <v>8</v>
      </c>
      <c r="F595">
        <v>6</v>
      </c>
      <c r="G595">
        <v>2</v>
      </c>
      <c r="H595">
        <v>8</v>
      </c>
      <c r="I595" t="s">
        <v>12</v>
      </c>
    </row>
    <row r="596" spans="1:9">
      <c r="A596" t="s">
        <v>35</v>
      </c>
      <c r="B596" t="s">
        <v>36</v>
      </c>
      <c r="C596">
        <v>2023</v>
      </c>
      <c r="D596" t="s">
        <v>58</v>
      </c>
      <c r="E596">
        <v>15</v>
      </c>
      <c r="F596">
        <v>14</v>
      </c>
      <c r="G596">
        <v>1</v>
      </c>
      <c r="H596">
        <v>0</v>
      </c>
      <c r="I596" t="s">
        <v>12</v>
      </c>
    </row>
    <row r="597" spans="1:9">
      <c r="A597" t="s">
        <v>37</v>
      </c>
      <c r="B597" t="s">
        <v>86</v>
      </c>
      <c r="C597">
        <v>2023</v>
      </c>
      <c r="D597" t="s">
        <v>58</v>
      </c>
      <c r="E597">
        <v>11</v>
      </c>
      <c r="F597">
        <v>10</v>
      </c>
      <c r="G597">
        <v>1</v>
      </c>
      <c r="H597">
        <v>1</v>
      </c>
      <c r="I597" t="s">
        <v>12</v>
      </c>
    </row>
    <row r="598" spans="1:9">
      <c r="A598" t="s">
        <v>39</v>
      </c>
      <c r="B598" t="s">
        <v>87</v>
      </c>
      <c r="C598">
        <v>2023</v>
      </c>
      <c r="D598" t="s">
        <v>58</v>
      </c>
      <c r="E598">
        <v>17</v>
      </c>
      <c r="F598">
        <v>13</v>
      </c>
      <c r="G598">
        <v>4</v>
      </c>
      <c r="H598">
        <v>0</v>
      </c>
      <c r="I598" t="s">
        <v>12</v>
      </c>
    </row>
    <row r="599" spans="1:9">
      <c r="A599" t="s">
        <v>40</v>
      </c>
      <c r="B599" t="s">
        <v>33</v>
      </c>
      <c r="C599">
        <v>2023</v>
      </c>
      <c r="D599" t="s">
        <v>58</v>
      </c>
      <c r="E599">
        <v>5</v>
      </c>
      <c r="F599">
        <v>20</v>
      </c>
      <c r="G599">
        <v>-15</v>
      </c>
      <c r="H599">
        <v>0</v>
      </c>
      <c r="I599" t="s">
        <v>22</v>
      </c>
    </row>
    <row r="600" spans="1:9">
      <c r="A600" t="s">
        <v>52</v>
      </c>
      <c r="B600" t="s">
        <v>36</v>
      </c>
      <c r="C600">
        <v>2023</v>
      </c>
      <c r="D600" t="s">
        <v>58</v>
      </c>
      <c r="E600">
        <v>18</v>
      </c>
      <c r="F600">
        <v>17</v>
      </c>
      <c r="G600">
        <v>1</v>
      </c>
      <c r="H600">
        <v>0</v>
      </c>
      <c r="I600" t="s">
        <v>12</v>
      </c>
    </row>
    <row r="601" spans="1:9">
      <c r="A601" t="s">
        <v>9</v>
      </c>
      <c r="B601" t="s">
        <v>10</v>
      </c>
      <c r="C601">
        <v>2023</v>
      </c>
      <c r="D601" t="s">
        <v>60</v>
      </c>
      <c r="E601">
        <v>7</v>
      </c>
      <c r="F601">
        <v>3</v>
      </c>
      <c r="G601">
        <v>4</v>
      </c>
      <c r="H601">
        <v>15</v>
      </c>
      <c r="I601" t="s">
        <v>12</v>
      </c>
    </row>
    <row r="602" spans="1:9">
      <c r="A602" t="s">
        <v>13</v>
      </c>
      <c r="B602" t="s">
        <v>14</v>
      </c>
      <c r="C602">
        <v>2023</v>
      </c>
      <c r="D602" t="s">
        <v>60</v>
      </c>
      <c r="E602">
        <v>9</v>
      </c>
      <c r="F602">
        <v>7</v>
      </c>
      <c r="G602">
        <v>2</v>
      </c>
      <c r="H602">
        <v>6</v>
      </c>
      <c r="I602" t="s">
        <v>12</v>
      </c>
    </row>
    <row r="603" spans="1:9">
      <c r="A603" t="s">
        <v>15</v>
      </c>
      <c r="B603" t="s">
        <v>16</v>
      </c>
      <c r="C603">
        <v>2023</v>
      </c>
      <c r="D603" t="s">
        <v>60</v>
      </c>
      <c r="E603">
        <v>11</v>
      </c>
      <c r="F603">
        <v>13</v>
      </c>
      <c r="G603">
        <v>-2</v>
      </c>
      <c r="H603">
        <v>0</v>
      </c>
      <c r="I603" t="s">
        <v>12</v>
      </c>
    </row>
    <row r="604" spans="1:9">
      <c r="A604" t="s">
        <v>17</v>
      </c>
      <c r="B604" t="s">
        <v>18</v>
      </c>
      <c r="C604">
        <v>2023</v>
      </c>
      <c r="D604" t="s">
        <v>60</v>
      </c>
      <c r="E604">
        <v>15</v>
      </c>
      <c r="F604">
        <v>6</v>
      </c>
      <c r="G604">
        <v>9</v>
      </c>
      <c r="H604">
        <v>8</v>
      </c>
      <c r="I604" t="s">
        <v>12</v>
      </c>
    </row>
    <row r="605" spans="1:9">
      <c r="A605" t="s">
        <v>20</v>
      </c>
      <c r="B605" t="s">
        <v>87</v>
      </c>
      <c r="C605">
        <v>2023</v>
      </c>
      <c r="D605" t="s">
        <v>60</v>
      </c>
      <c r="E605">
        <v>20</v>
      </c>
      <c r="F605">
        <v>12</v>
      </c>
      <c r="G605">
        <v>8</v>
      </c>
      <c r="H605">
        <v>0</v>
      </c>
      <c r="I605" t="s">
        <v>12</v>
      </c>
    </row>
    <row r="606" spans="1:9">
      <c r="A606" t="s">
        <v>23</v>
      </c>
      <c r="B606" t="s">
        <v>16</v>
      </c>
      <c r="C606">
        <v>2023</v>
      </c>
      <c r="D606" t="s">
        <v>60</v>
      </c>
      <c r="E606">
        <v>19</v>
      </c>
      <c r="F606">
        <v>19</v>
      </c>
      <c r="G606">
        <v>0</v>
      </c>
      <c r="H606">
        <v>0</v>
      </c>
      <c r="I606" t="s">
        <v>42</v>
      </c>
    </row>
    <row r="607" spans="1:9">
      <c r="A607" t="s">
        <v>25</v>
      </c>
      <c r="B607" t="s">
        <v>18</v>
      </c>
      <c r="C607">
        <v>2023</v>
      </c>
      <c r="D607" t="s">
        <v>60</v>
      </c>
      <c r="E607">
        <v>1</v>
      </c>
      <c r="F607">
        <v>1</v>
      </c>
      <c r="G607">
        <v>0</v>
      </c>
      <c r="H607">
        <v>26</v>
      </c>
      <c r="I607" t="s">
        <v>12</v>
      </c>
    </row>
    <row r="608" spans="1:9">
      <c r="A608" t="s">
        <v>26</v>
      </c>
      <c r="B608" t="s">
        <v>27</v>
      </c>
      <c r="C608">
        <v>2023</v>
      </c>
      <c r="D608" t="s">
        <v>60</v>
      </c>
      <c r="E608">
        <v>5</v>
      </c>
      <c r="F608">
        <v>10</v>
      </c>
      <c r="G608">
        <v>-5</v>
      </c>
      <c r="H608">
        <v>1</v>
      </c>
      <c r="I608" t="s">
        <v>12</v>
      </c>
    </row>
    <row r="609" spans="1:9">
      <c r="A609" t="s">
        <v>48</v>
      </c>
      <c r="B609" t="s">
        <v>30</v>
      </c>
      <c r="C609">
        <v>2023</v>
      </c>
      <c r="D609" t="s">
        <v>60</v>
      </c>
      <c r="E609">
        <v>13</v>
      </c>
      <c r="F609">
        <v>20</v>
      </c>
      <c r="G609">
        <v>-7</v>
      </c>
      <c r="H609">
        <v>0</v>
      </c>
      <c r="I609" t="s">
        <v>92</v>
      </c>
    </row>
    <row r="610" spans="1:9">
      <c r="A610" t="s">
        <v>28</v>
      </c>
      <c r="B610" t="s">
        <v>14</v>
      </c>
      <c r="C610">
        <v>2023</v>
      </c>
      <c r="D610" t="s">
        <v>60</v>
      </c>
      <c r="E610">
        <v>12</v>
      </c>
      <c r="F610">
        <v>14</v>
      </c>
      <c r="G610">
        <v>-2</v>
      </c>
      <c r="H610">
        <v>0</v>
      </c>
      <c r="I610" t="s">
        <v>12</v>
      </c>
    </row>
    <row r="611" spans="1:9">
      <c r="A611" t="s">
        <v>29</v>
      </c>
      <c r="B611" t="s">
        <v>30</v>
      </c>
      <c r="C611">
        <v>2023</v>
      </c>
      <c r="D611" t="s">
        <v>60</v>
      </c>
      <c r="E611">
        <v>10</v>
      </c>
      <c r="F611">
        <v>18</v>
      </c>
      <c r="G611">
        <v>-8</v>
      </c>
      <c r="H611">
        <v>0</v>
      </c>
      <c r="I611" t="s">
        <v>22</v>
      </c>
    </row>
    <row r="612" spans="1:9">
      <c r="A612" t="s">
        <v>31</v>
      </c>
      <c r="B612" t="s">
        <v>27</v>
      </c>
      <c r="C612">
        <v>2023</v>
      </c>
      <c r="D612" t="s">
        <v>60</v>
      </c>
      <c r="E612">
        <v>4</v>
      </c>
      <c r="F612">
        <v>9</v>
      </c>
      <c r="G612">
        <v>-5</v>
      </c>
      <c r="H612">
        <v>2</v>
      </c>
      <c r="I612" t="s">
        <v>12</v>
      </c>
    </row>
    <row r="613" spans="1:9">
      <c r="A613" t="s">
        <v>32</v>
      </c>
      <c r="B613" t="s">
        <v>33</v>
      </c>
      <c r="C613">
        <v>2023</v>
      </c>
      <c r="D613" t="s">
        <v>60</v>
      </c>
      <c r="E613">
        <v>2</v>
      </c>
      <c r="F613">
        <v>2</v>
      </c>
      <c r="G613">
        <v>0</v>
      </c>
      <c r="H613">
        <v>18</v>
      </c>
      <c r="I613" t="s">
        <v>12</v>
      </c>
    </row>
    <row r="614" spans="1:9">
      <c r="A614" t="s">
        <v>34</v>
      </c>
      <c r="B614" t="s">
        <v>10</v>
      </c>
      <c r="C614">
        <v>2023</v>
      </c>
      <c r="D614" t="s">
        <v>60</v>
      </c>
      <c r="E614">
        <v>6</v>
      </c>
      <c r="F614">
        <v>5</v>
      </c>
      <c r="G614">
        <v>1</v>
      </c>
      <c r="H614">
        <v>10</v>
      </c>
      <c r="I614" t="s">
        <v>12</v>
      </c>
    </row>
    <row r="615" spans="1:9">
      <c r="A615" t="s">
        <v>35</v>
      </c>
      <c r="B615" t="s">
        <v>36</v>
      </c>
      <c r="C615">
        <v>2023</v>
      </c>
      <c r="D615" t="s">
        <v>60</v>
      </c>
      <c r="E615">
        <v>8</v>
      </c>
      <c r="F615">
        <v>8</v>
      </c>
      <c r="G615">
        <v>0</v>
      </c>
      <c r="H615">
        <v>4</v>
      </c>
      <c r="I615" t="s">
        <v>12</v>
      </c>
    </row>
    <row r="616" spans="1:9">
      <c r="A616" t="s">
        <v>37</v>
      </c>
      <c r="B616" t="s">
        <v>86</v>
      </c>
      <c r="C616">
        <v>2023</v>
      </c>
      <c r="D616" t="s">
        <v>60</v>
      </c>
      <c r="E616">
        <v>16</v>
      </c>
      <c r="F616">
        <v>16</v>
      </c>
      <c r="G616">
        <v>0</v>
      </c>
      <c r="H616">
        <v>0</v>
      </c>
      <c r="I616" t="s">
        <v>12</v>
      </c>
    </row>
    <row r="617" spans="1:9">
      <c r="A617" t="s">
        <v>39</v>
      </c>
      <c r="B617" t="s">
        <v>87</v>
      </c>
      <c r="C617">
        <v>2023</v>
      </c>
      <c r="D617" t="s">
        <v>60</v>
      </c>
      <c r="E617">
        <v>17</v>
      </c>
      <c r="F617">
        <v>15</v>
      </c>
      <c r="G617">
        <v>2</v>
      </c>
      <c r="H617">
        <v>0</v>
      </c>
      <c r="I617" t="s">
        <v>12</v>
      </c>
    </row>
    <row r="618" spans="1:9">
      <c r="A618" t="s">
        <v>88</v>
      </c>
      <c r="B618" t="s">
        <v>86</v>
      </c>
      <c r="C618">
        <v>2023</v>
      </c>
      <c r="D618" t="s">
        <v>60</v>
      </c>
      <c r="E618">
        <v>18</v>
      </c>
      <c r="F618">
        <v>17</v>
      </c>
      <c r="G618">
        <v>1</v>
      </c>
      <c r="H618">
        <v>0</v>
      </c>
      <c r="I618" t="s">
        <v>12</v>
      </c>
    </row>
    <row r="619" spans="1:9">
      <c r="A619" t="s">
        <v>40</v>
      </c>
      <c r="B619" t="s">
        <v>33</v>
      </c>
      <c r="C619">
        <v>2023</v>
      </c>
      <c r="D619" t="s">
        <v>60</v>
      </c>
      <c r="E619">
        <v>3</v>
      </c>
      <c r="F619">
        <v>4</v>
      </c>
      <c r="G619">
        <v>-1</v>
      </c>
      <c r="H619">
        <v>12</v>
      </c>
      <c r="I619" t="s">
        <v>12</v>
      </c>
    </row>
    <row r="620" spans="1:9">
      <c r="A620" t="s">
        <v>52</v>
      </c>
      <c r="B620" t="s">
        <v>36</v>
      </c>
      <c r="C620">
        <v>2023</v>
      </c>
      <c r="D620" t="s">
        <v>60</v>
      </c>
      <c r="E620">
        <v>14</v>
      </c>
      <c r="F620">
        <v>11</v>
      </c>
      <c r="G620">
        <v>3</v>
      </c>
      <c r="H620">
        <v>0</v>
      </c>
      <c r="I620" t="s">
        <v>12</v>
      </c>
    </row>
    <row r="621" spans="1:9">
      <c r="A621" t="s">
        <v>9</v>
      </c>
      <c r="B621" t="s">
        <v>10</v>
      </c>
      <c r="C621">
        <v>2023</v>
      </c>
      <c r="D621" t="s">
        <v>63</v>
      </c>
      <c r="E621">
        <v>3</v>
      </c>
      <c r="F621">
        <v>3</v>
      </c>
      <c r="G621">
        <v>0</v>
      </c>
      <c r="H621">
        <v>15</v>
      </c>
      <c r="I621" t="s">
        <v>12</v>
      </c>
    </row>
    <row r="622" spans="1:9">
      <c r="A622" t="s">
        <v>13</v>
      </c>
      <c r="B622" t="s">
        <v>14</v>
      </c>
      <c r="C622">
        <v>2023</v>
      </c>
      <c r="D622" t="s">
        <v>63</v>
      </c>
      <c r="E622">
        <v>2</v>
      </c>
      <c r="F622">
        <v>2</v>
      </c>
      <c r="G622">
        <v>0</v>
      </c>
      <c r="H622">
        <v>18</v>
      </c>
      <c r="I622" t="s">
        <v>12</v>
      </c>
    </row>
    <row r="623" spans="1:9">
      <c r="A623" t="s">
        <v>15</v>
      </c>
      <c r="B623" t="s">
        <v>16</v>
      </c>
      <c r="C623">
        <v>2023</v>
      </c>
      <c r="D623" t="s">
        <v>63</v>
      </c>
      <c r="E623">
        <v>5</v>
      </c>
      <c r="F623">
        <v>15</v>
      </c>
      <c r="G623">
        <v>-10</v>
      </c>
      <c r="H623">
        <v>0</v>
      </c>
      <c r="I623" t="s">
        <v>24</v>
      </c>
    </row>
    <row r="624" spans="1:9">
      <c r="A624" t="s">
        <v>17</v>
      </c>
      <c r="B624" t="s">
        <v>18</v>
      </c>
      <c r="C624">
        <v>2023</v>
      </c>
      <c r="D624" t="s">
        <v>63</v>
      </c>
      <c r="E624">
        <v>12</v>
      </c>
      <c r="F624">
        <v>6</v>
      </c>
      <c r="G624">
        <v>6</v>
      </c>
      <c r="H624">
        <v>9</v>
      </c>
      <c r="I624" t="s">
        <v>12</v>
      </c>
    </row>
    <row r="625" spans="1:9">
      <c r="A625" t="s">
        <v>20</v>
      </c>
      <c r="B625" t="s">
        <v>87</v>
      </c>
      <c r="C625">
        <v>2023</v>
      </c>
      <c r="D625" t="s">
        <v>63</v>
      </c>
      <c r="E625">
        <v>14</v>
      </c>
      <c r="F625">
        <v>10</v>
      </c>
      <c r="G625">
        <v>4</v>
      </c>
      <c r="H625">
        <v>1</v>
      </c>
      <c r="I625" t="s">
        <v>12</v>
      </c>
    </row>
    <row r="626" spans="1:9">
      <c r="A626" t="s">
        <v>23</v>
      </c>
      <c r="B626" t="s">
        <v>16</v>
      </c>
      <c r="C626">
        <v>2023</v>
      </c>
      <c r="D626" t="s">
        <v>63</v>
      </c>
      <c r="E626">
        <v>13</v>
      </c>
      <c r="F626">
        <v>17</v>
      </c>
      <c r="G626">
        <v>-4</v>
      </c>
      <c r="H626">
        <v>0</v>
      </c>
      <c r="I626" t="s">
        <v>24</v>
      </c>
    </row>
    <row r="627" spans="1:9">
      <c r="A627" t="s">
        <v>25</v>
      </c>
      <c r="B627" t="s">
        <v>18</v>
      </c>
      <c r="C627">
        <v>2023</v>
      </c>
      <c r="D627" t="s">
        <v>63</v>
      </c>
      <c r="E627">
        <v>1</v>
      </c>
      <c r="F627">
        <v>1</v>
      </c>
      <c r="G627">
        <v>0</v>
      </c>
      <c r="H627">
        <v>25</v>
      </c>
      <c r="I627" t="s">
        <v>12</v>
      </c>
    </row>
    <row r="628" spans="1:9">
      <c r="A628" t="s">
        <v>26</v>
      </c>
      <c r="B628" t="s">
        <v>27</v>
      </c>
      <c r="C628">
        <v>2023</v>
      </c>
      <c r="D628" t="s">
        <v>63</v>
      </c>
      <c r="E628">
        <v>11</v>
      </c>
      <c r="F628">
        <v>5</v>
      </c>
      <c r="G628">
        <v>6</v>
      </c>
      <c r="H628">
        <v>10</v>
      </c>
      <c r="I628" t="s">
        <v>12</v>
      </c>
    </row>
    <row r="629" spans="1:9">
      <c r="A629" t="s">
        <v>48</v>
      </c>
      <c r="B629" t="s">
        <v>30</v>
      </c>
      <c r="C629">
        <v>2023</v>
      </c>
      <c r="D629" t="s">
        <v>63</v>
      </c>
      <c r="E629">
        <v>6</v>
      </c>
      <c r="F629">
        <v>8</v>
      </c>
      <c r="G629">
        <v>-2</v>
      </c>
      <c r="H629">
        <v>4</v>
      </c>
      <c r="I629" t="s">
        <v>12</v>
      </c>
    </row>
    <row r="630" spans="1:9">
      <c r="A630" t="s">
        <v>28</v>
      </c>
      <c r="B630" t="s">
        <v>14</v>
      </c>
      <c r="C630">
        <v>2023</v>
      </c>
      <c r="D630" t="s">
        <v>63</v>
      </c>
      <c r="E630">
        <v>16</v>
      </c>
      <c r="F630">
        <v>9</v>
      </c>
      <c r="G630">
        <v>7</v>
      </c>
      <c r="H630">
        <v>2</v>
      </c>
      <c r="I630" t="s">
        <v>12</v>
      </c>
    </row>
    <row r="631" spans="1:9">
      <c r="A631" t="s">
        <v>29</v>
      </c>
      <c r="B631" t="s">
        <v>30</v>
      </c>
      <c r="C631">
        <v>2023</v>
      </c>
      <c r="D631" t="s">
        <v>63</v>
      </c>
      <c r="E631">
        <v>15</v>
      </c>
      <c r="F631">
        <v>12</v>
      </c>
      <c r="G631">
        <v>3</v>
      </c>
      <c r="H631">
        <v>0</v>
      </c>
      <c r="I631" t="s">
        <v>12</v>
      </c>
    </row>
    <row r="632" spans="1:9">
      <c r="A632" t="s">
        <v>31</v>
      </c>
      <c r="B632" t="s">
        <v>27</v>
      </c>
      <c r="C632">
        <v>2023</v>
      </c>
      <c r="D632" t="s">
        <v>63</v>
      </c>
      <c r="E632">
        <v>10</v>
      </c>
      <c r="F632">
        <v>4</v>
      </c>
      <c r="G632">
        <v>6</v>
      </c>
      <c r="H632">
        <v>12</v>
      </c>
      <c r="I632" t="s">
        <v>12</v>
      </c>
    </row>
    <row r="633" spans="1:9">
      <c r="A633" t="s">
        <v>32</v>
      </c>
      <c r="B633" t="s">
        <v>33</v>
      </c>
      <c r="C633">
        <v>2023</v>
      </c>
      <c r="D633" t="s">
        <v>63</v>
      </c>
      <c r="E633">
        <v>7</v>
      </c>
      <c r="F633">
        <v>13</v>
      </c>
      <c r="G633">
        <v>-6</v>
      </c>
      <c r="H633">
        <v>0</v>
      </c>
      <c r="I633" t="s">
        <v>12</v>
      </c>
    </row>
    <row r="634" spans="1:9">
      <c r="A634" t="s">
        <v>34</v>
      </c>
      <c r="B634" t="s">
        <v>10</v>
      </c>
      <c r="C634">
        <v>2023</v>
      </c>
      <c r="D634" t="s">
        <v>63</v>
      </c>
      <c r="E634">
        <v>4</v>
      </c>
      <c r="F634">
        <v>19</v>
      </c>
      <c r="G634">
        <v>-15</v>
      </c>
      <c r="H634">
        <v>0</v>
      </c>
      <c r="I634" t="s">
        <v>47</v>
      </c>
    </row>
    <row r="635" spans="1:9">
      <c r="A635" t="s">
        <v>35</v>
      </c>
      <c r="B635" t="s">
        <v>36</v>
      </c>
      <c r="C635">
        <v>2023</v>
      </c>
      <c r="D635" t="s">
        <v>63</v>
      </c>
      <c r="E635">
        <v>9</v>
      </c>
      <c r="F635">
        <v>7</v>
      </c>
      <c r="G635">
        <v>2</v>
      </c>
      <c r="H635">
        <v>6</v>
      </c>
      <c r="I635" t="s">
        <v>12</v>
      </c>
    </row>
    <row r="636" spans="1:9">
      <c r="A636" t="s">
        <v>37</v>
      </c>
      <c r="B636" t="s">
        <v>86</v>
      </c>
      <c r="C636">
        <v>2023</v>
      </c>
      <c r="D636" t="s">
        <v>63</v>
      </c>
      <c r="E636">
        <v>19</v>
      </c>
      <c r="F636">
        <v>14</v>
      </c>
      <c r="G636">
        <v>5</v>
      </c>
      <c r="H636">
        <v>0</v>
      </c>
      <c r="I636" t="s">
        <v>12</v>
      </c>
    </row>
    <row r="637" spans="1:9">
      <c r="A637" t="s">
        <v>39</v>
      </c>
      <c r="B637" t="s">
        <v>87</v>
      </c>
      <c r="C637">
        <v>2023</v>
      </c>
      <c r="D637" t="s">
        <v>63</v>
      </c>
      <c r="E637">
        <v>20</v>
      </c>
      <c r="F637">
        <v>16</v>
      </c>
      <c r="G637">
        <v>4</v>
      </c>
      <c r="H637">
        <v>0</v>
      </c>
      <c r="I637" t="s">
        <v>24</v>
      </c>
    </row>
    <row r="638" spans="1:9">
      <c r="A638" t="s">
        <v>88</v>
      </c>
      <c r="B638" t="s">
        <v>86</v>
      </c>
      <c r="C638">
        <v>2023</v>
      </c>
      <c r="D638" t="s">
        <v>63</v>
      </c>
      <c r="E638">
        <v>17</v>
      </c>
      <c r="F638">
        <v>18</v>
      </c>
      <c r="G638">
        <v>-1</v>
      </c>
      <c r="H638">
        <v>0</v>
      </c>
      <c r="I638" t="s">
        <v>24</v>
      </c>
    </row>
    <row r="639" spans="1:9">
      <c r="A639" t="s">
        <v>40</v>
      </c>
      <c r="B639" t="s">
        <v>33</v>
      </c>
      <c r="C639">
        <v>2023</v>
      </c>
      <c r="D639" t="s">
        <v>63</v>
      </c>
      <c r="E639">
        <v>8</v>
      </c>
      <c r="F639">
        <v>11</v>
      </c>
      <c r="G639">
        <v>-3</v>
      </c>
      <c r="H639">
        <v>0</v>
      </c>
      <c r="I639" t="s">
        <v>12</v>
      </c>
    </row>
    <row r="640" spans="1:9">
      <c r="A640" t="s">
        <v>52</v>
      </c>
      <c r="B640" t="s">
        <v>36</v>
      </c>
      <c r="C640">
        <v>2023</v>
      </c>
      <c r="D640" t="s">
        <v>63</v>
      </c>
      <c r="E640">
        <v>18</v>
      </c>
      <c r="F640">
        <v>20</v>
      </c>
      <c r="G640">
        <v>-2</v>
      </c>
      <c r="H640">
        <v>0</v>
      </c>
      <c r="I640" t="s">
        <v>42</v>
      </c>
    </row>
    <row r="641" spans="1:9">
      <c r="A641" t="s">
        <v>9</v>
      </c>
      <c r="B641" t="s">
        <v>10</v>
      </c>
      <c r="C641">
        <v>2023</v>
      </c>
      <c r="D641" t="s">
        <v>65</v>
      </c>
      <c r="E641">
        <v>13</v>
      </c>
      <c r="F641">
        <v>6</v>
      </c>
      <c r="G641">
        <v>7</v>
      </c>
      <c r="H641">
        <v>8</v>
      </c>
      <c r="I641" t="s">
        <v>12</v>
      </c>
    </row>
    <row r="642" spans="1:9">
      <c r="A642" t="s">
        <v>13</v>
      </c>
      <c r="B642" t="s">
        <v>14</v>
      </c>
      <c r="C642">
        <v>2023</v>
      </c>
      <c r="D642" t="s">
        <v>65</v>
      </c>
      <c r="E642">
        <v>5</v>
      </c>
      <c r="F642">
        <v>2</v>
      </c>
      <c r="G642">
        <v>3</v>
      </c>
      <c r="H642">
        <v>19</v>
      </c>
      <c r="I642" t="s">
        <v>12</v>
      </c>
    </row>
    <row r="643" spans="1:9">
      <c r="A643" t="s">
        <v>15</v>
      </c>
      <c r="B643" t="s">
        <v>16</v>
      </c>
      <c r="C643">
        <v>2023</v>
      </c>
      <c r="D643" t="s">
        <v>65</v>
      </c>
      <c r="E643">
        <v>14</v>
      </c>
      <c r="F643">
        <v>12</v>
      </c>
      <c r="G643">
        <v>2</v>
      </c>
      <c r="H643">
        <v>0</v>
      </c>
      <c r="I643" t="s">
        <v>12</v>
      </c>
    </row>
    <row r="644" spans="1:9">
      <c r="A644" t="s">
        <v>17</v>
      </c>
      <c r="B644" t="s">
        <v>18</v>
      </c>
      <c r="C644">
        <v>2023</v>
      </c>
      <c r="D644" t="s">
        <v>65</v>
      </c>
      <c r="E644">
        <v>7</v>
      </c>
      <c r="F644">
        <v>4</v>
      </c>
      <c r="G644">
        <v>3</v>
      </c>
      <c r="H644">
        <v>12</v>
      </c>
      <c r="I644" t="s">
        <v>12</v>
      </c>
    </row>
    <row r="645" spans="1:9">
      <c r="A645" t="s">
        <v>20</v>
      </c>
      <c r="B645" t="s">
        <v>87</v>
      </c>
      <c r="C645">
        <v>2023</v>
      </c>
      <c r="D645" t="s">
        <v>65</v>
      </c>
      <c r="E645">
        <v>18</v>
      </c>
      <c r="F645">
        <v>14</v>
      </c>
      <c r="G645">
        <v>4</v>
      </c>
      <c r="H645">
        <v>0</v>
      </c>
      <c r="I645" t="s">
        <v>12</v>
      </c>
    </row>
    <row r="646" spans="1:9">
      <c r="A646" t="s">
        <v>23</v>
      </c>
      <c r="B646" t="s">
        <v>16</v>
      </c>
      <c r="C646">
        <v>2023</v>
      </c>
      <c r="D646" t="s">
        <v>65</v>
      </c>
      <c r="E646">
        <v>0</v>
      </c>
      <c r="F646">
        <v>16</v>
      </c>
      <c r="G646">
        <v>-16</v>
      </c>
      <c r="H646">
        <v>0</v>
      </c>
      <c r="I646" t="s">
        <v>12</v>
      </c>
    </row>
    <row r="647" spans="1:9">
      <c r="A647" t="s">
        <v>25</v>
      </c>
      <c r="B647" t="s">
        <v>18</v>
      </c>
      <c r="C647">
        <v>2023</v>
      </c>
      <c r="D647" t="s">
        <v>65</v>
      </c>
      <c r="E647">
        <v>1</v>
      </c>
      <c r="F647">
        <v>1</v>
      </c>
      <c r="G647">
        <v>0</v>
      </c>
      <c r="H647">
        <v>25</v>
      </c>
      <c r="I647" t="s">
        <v>12</v>
      </c>
    </row>
    <row r="648" spans="1:9">
      <c r="A648" t="s">
        <v>26</v>
      </c>
      <c r="B648" t="s">
        <v>27</v>
      </c>
      <c r="C648">
        <v>2023</v>
      </c>
      <c r="D648" t="s">
        <v>65</v>
      </c>
      <c r="E648">
        <v>6</v>
      </c>
      <c r="F648">
        <v>5</v>
      </c>
      <c r="G648">
        <v>1</v>
      </c>
      <c r="H648">
        <v>10</v>
      </c>
      <c r="I648" t="s">
        <v>12</v>
      </c>
    </row>
    <row r="649" spans="1:9">
      <c r="A649" t="s">
        <v>48</v>
      </c>
      <c r="B649" t="s">
        <v>30</v>
      </c>
      <c r="C649">
        <v>2023</v>
      </c>
      <c r="D649" t="s">
        <v>65</v>
      </c>
      <c r="E649">
        <v>16</v>
      </c>
      <c r="F649">
        <v>10</v>
      </c>
      <c r="G649">
        <v>6</v>
      </c>
      <c r="H649">
        <v>1</v>
      </c>
      <c r="I649" t="s">
        <v>12</v>
      </c>
    </row>
    <row r="650" spans="1:9">
      <c r="A650" t="s">
        <v>28</v>
      </c>
      <c r="B650" t="s">
        <v>14</v>
      </c>
      <c r="C650">
        <v>2023</v>
      </c>
      <c r="D650" t="s">
        <v>65</v>
      </c>
      <c r="E650">
        <v>11</v>
      </c>
      <c r="F650">
        <v>11</v>
      </c>
      <c r="G650">
        <v>0</v>
      </c>
      <c r="H650">
        <v>0</v>
      </c>
      <c r="I650" t="s">
        <v>12</v>
      </c>
    </row>
    <row r="651" spans="1:9">
      <c r="A651" t="s">
        <v>29</v>
      </c>
      <c r="B651" t="s">
        <v>30</v>
      </c>
      <c r="C651">
        <v>2023</v>
      </c>
      <c r="D651" t="s">
        <v>65</v>
      </c>
      <c r="E651">
        <v>12</v>
      </c>
      <c r="F651">
        <v>3</v>
      </c>
      <c r="G651">
        <v>9</v>
      </c>
      <c r="H651">
        <v>15</v>
      </c>
      <c r="I651" t="s">
        <v>12</v>
      </c>
    </row>
    <row r="652" spans="1:9">
      <c r="A652" t="s">
        <v>31</v>
      </c>
      <c r="B652" t="s">
        <v>27</v>
      </c>
      <c r="C652">
        <v>2023</v>
      </c>
      <c r="D652" t="s">
        <v>65</v>
      </c>
      <c r="E652">
        <v>9</v>
      </c>
      <c r="F652">
        <v>19</v>
      </c>
      <c r="G652">
        <v>-10</v>
      </c>
      <c r="H652">
        <v>0</v>
      </c>
      <c r="I652" t="s">
        <v>93</v>
      </c>
    </row>
    <row r="653" spans="1:9">
      <c r="A653" t="s">
        <v>32</v>
      </c>
      <c r="B653" t="s">
        <v>33</v>
      </c>
      <c r="C653">
        <v>2023</v>
      </c>
      <c r="D653" t="s">
        <v>65</v>
      </c>
      <c r="E653">
        <v>2</v>
      </c>
      <c r="F653">
        <v>7</v>
      </c>
      <c r="G653">
        <v>-5</v>
      </c>
      <c r="H653">
        <v>6</v>
      </c>
      <c r="I653" t="s">
        <v>12</v>
      </c>
    </row>
    <row r="654" spans="1:9">
      <c r="A654" t="s">
        <v>34</v>
      </c>
      <c r="B654" t="s">
        <v>10</v>
      </c>
      <c r="C654">
        <v>2023</v>
      </c>
      <c r="D654" t="s">
        <v>65</v>
      </c>
      <c r="E654">
        <v>3</v>
      </c>
      <c r="F654">
        <v>17</v>
      </c>
      <c r="G654">
        <v>-14</v>
      </c>
      <c r="H654">
        <v>0</v>
      </c>
      <c r="I654" t="s">
        <v>12</v>
      </c>
    </row>
    <row r="655" spans="1:9">
      <c r="A655" t="s">
        <v>35</v>
      </c>
      <c r="B655" t="s">
        <v>36</v>
      </c>
      <c r="C655">
        <v>2023</v>
      </c>
      <c r="D655" t="s">
        <v>65</v>
      </c>
      <c r="E655">
        <v>4</v>
      </c>
      <c r="F655">
        <v>8</v>
      </c>
      <c r="G655">
        <v>-4</v>
      </c>
      <c r="H655">
        <v>4</v>
      </c>
      <c r="I655" t="s">
        <v>12</v>
      </c>
    </row>
    <row r="656" spans="1:9">
      <c r="A656" t="s">
        <v>37</v>
      </c>
      <c r="B656" t="s">
        <v>86</v>
      </c>
      <c r="C656">
        <v>2023</v>
      </c>
      <c r="D656" t="s">
        <v>65</v>
      </c>
      <c r="E656">
        <v>17</v>
      </c>
      <c r="F656">
        <v>15</v>
      </c>
      <c r="G656">
        <v>2</v>
      </c>
      <c r="H656">
        <v>0</v>
      </c>
      <c r="I656" t="s">
        <v>12</v>
      </c>
    </row>
    <row r="657" spans="1:9">
      <c r="A657" t="s">
        <v>39</v>
      </c>
      <c r="B657" t="s">
        <v>87</v>
      </c>
      <c r="C657">
        <v>2023</v>
      </c>
      <c r="D657" t="s">
        <v>65</v>
      </c>
      <c r="E657">
        <v>15</v>
      </c>
      <c r="F657">
        <v>18</v>
      </c>
      <c r="G657">
        <v>-3</v>
      </c>
      <c r="H657">
        <v>0</v>
      </c>
      <c r="I657" t="s">
        <v>49</v>
      </c>
    </row>
    <row r="658" spans="1:9">
      <c r="A658" t="s">
        <v>40</v>
      </c>
      <c r="B658" t="s">
        <v>33</v>
      </c>
      <c r="C658">
        <v>2023</v>
      </c>
      <c r="D658" t="s">
        <v>65</v>
      </c>
      <c r="E658">
        <v>8</v>
      </c>
      <c r="F658">
        <v>9</v>
      </c>
      <c r="G658">
        <v>-1</v>
      </c>
      <c r="H658">
        <v>2</v>
      </c>
      <c r="I658" t="s">
        <v>12</v>
      </c>
    </row>
    <row r="659" spans="1:9">
      <c r="A659" t="s">
        <v>52</v>
      </c>
      <c r="B659" t="s">
        <v>36</v>
      </c>
      <c r="C659">
        <v>2023</v>
      </c>
      <c r="D659" t="s">
        <v>65</v>
      </c>
      <c r="E659">
        <v>10</v>
      </c>
      <c r="F659">
        <v>20</v>
      </c>
      <c r="G659">
        <v>-10</v>
      </c>
      <c r="H659">
        <v>0</v>
      </c>
      <c r="I659" t="s">
        <v>49</v>
      </c>
    </row>
    <row r="660" spans="1:9">
      <c r="A660" t="s">
        <v>41</v>
      </c>
      <c r="B660" t="s">
        <v>86</v>
      </c>
      <c r="C660">
        <v>2023</v>
      </c>
      <c r="D660" t="s">
        <v>65</v>
      </c>
      <c r="E660">
        <v>19</v>
      </c>
      <c r="F660">
        <v>13</v>
      </c>
      <c r="G660">
        <v>6</v>
      </c>
      <c r="H660">
        <v>0</v>
      </c>
      <c r="I660" t="s">
        <v>12</v>
      </c>
    </row>
    <row r="661" spans="1:9">
      <c r="A661" t="s">
        <v>9</v>
      </c>
      <c r="B661" t="s">
        <v>10</v>
      </c>
      <c r="C661">
        <v>2023</v>
      </c>
      <c r="D661" t="s">
        <v>67</v>
      </c>
      <c r="E661">
        <v>1</v>
      </c>
      <c r="F661">
        <v>4</v>
      </c>
      <c r="G661">
        <v>-3</v>
      </c>
      <c r="H661">
        <v>12</v>
      </c>
      <c r="I661" t="s">
        <v>12</v>
      </c>
    </row>
    <row r="662" spans="1:9">
      <c r="A662" t="s">
        <v>13</v>
      </c>
      <c r="B662" t="s">
        <v>14</v>
      </c>
      <c r="C662">
        <v>2023</v>
      </c>
      <c r="D662" t="s">
        <v>67</v>
      </c>
      <c r="E662">
        <v>8</v>
      </c>
      <c r="F662">
        <v>9</v>
      </c>
      <c r="G662">
        <v>-1</v>
      </c>
      <c r="H662">
        <v>2</v>
      </c>
      <c r="I662" t="s">
        <v>12</v>
      </c>
    </row>
    <row r="663" spans="1:9">
      <c r="A663" t="s">
        <v>15</v>
      </c>
      <c r="B663" t="s">
        <v>16</v>
      </c>
      <c r="C663">
        <v>2023</v>
      </c>
      <c r="D663" t="s">
        <v>67</v>
      </c>
      <c r="E663">
        <v>10</v>
      </c>
      <c r="F663">
        <v>14</v>
      </c>
      <c r="G663">
        <v>-4</v>
      </c>
      <c r="H663">
        <v>0</v>
      </c>
      <c r="I663" t="s">
        <v>24</v>
      </c>
    </row>
    <row r="664" spans="1:9">
      <c r="A664" t="s">
        <v>17</v>
      </c>
      <c r="B664" t="s">
        <v>18</v>
      </c>
      <c r="C664">
        <v>2023</v>
      </c>
      <c r="D664" t="s">
        <v>67</v>
      </c>
      <c r="E664">
        <v>9</v>
      </c>
      <c r="F664">
        <v>3</v>
      </c>
      <c r="G664">
        <v>6</v>
      </c>
      <c r="H664">
        <v>15</v>
      </c>
      <c r="I664" t="s">
        <v>12</v>
      </c>
    </row>
    <row r="665" spans="1:9">
      <c r="A665" t="s">
        <v>46</v>
      </c>
      <c r="B665" t="s">
        <v>86</v>
      </c>
      <c r="C665">
        <v>2023</v>
      </c>
      <c r="D665" t="s">
        <v>67</v>
      </c>
      <c r="E665">
        <v>13</v>
      </c>
      <c r="F665">
        <v>13</v>
      </c>
      <c r="G665">
        <v>0</v>
      </c>
      <c r="H665">
        <v>0</v>
      </c>
      <c r="I665" t="s">
        <v>24</v>
      </c>
    </row>
    <row r="666" spans="1:9">
      <c r="A666" t="s">
        <v>20</v>
      </c>
      <c r="B666" t="s">
        <v>87</v>
      </c>
      <c r="C666">
        <v>2023</v>
      </c>
      <c r="D666" t="s">
        <v>67</v>
      </c>
      <c r="E666">
        <v>7</v>
      </c>
      <c r="F666">
        <v>12</v>
      </c>
      <c r="G666">
        <v>-5</v>
      </c>
      <c r="H666">
        <v>0</v>
      </c>
      <c r="I666" t="s">
        <v>24</v>
      </c>
    </row>
    <row r="667" spans="1:9">
      <c r="A667" t="s">
        <v>23</v>
      </c>
      <c r="B667" t="s">
        <v>16</v>
      </c>
      <c r="C667">
        <v>2023</v>
      </c>
      <c r="D667" t="s">
        <v>67</v>
      </c>
      <c r="E667">
        <v>19</v>
      </c>
      <c r="F667">
        <v>17</v>
      </c>
      <c r="G667">
        <v>2</v>
      </c>
      <c r="H667">
        <v>0</v>
      </c>
      <c r="I667" t="s">
        <v>24</v>
      </c>
    </row>
    <row r="668" spans="1:9">
      <c r="A668" t="s">
        <v>25</v>
      </c>
      <c r="B668" t="s">
        <v>18</v>
      </c>
      <c r="C668">
        <v>2023</v>
      </c>
      <c r="D668" t="s">
        <v>67</v>
      </c>
      <c r="E668">
        <v>2</v>
      </c>
      <c r="F668">
        <v>1</v>
      </c>
      <c r="G668">
        <v>1</v>
      </c>
      <c r="H668">
        <v>26</v>
      </c>
      <c r="I668" t="s">
        <v>12</v>
      </c>
    </row>
    <row r="669" spans="1:9">
      <c r="A669" t="s">
        <v>26</v>
      </c>
      <c r="B669" t="s">
        <v>27</v>
      </c>
      <c r="C669">
        <v>2023</v>
      </c>
      <c r="D669" t="s">
        <v>67</v>
      </c>
      <c r="E669">
        <v>11</v>
      </c>
      <c r="F669">
        <v>8</v>
      </c>
      <c r="G669">
        <v>3</v>
      </c>
      <c r="H669">
        <v>4</v>
      </c>
      <c r="I669" t="s">
        <v>12</v>
      </c>
    </row>
    <row r="670" spans="1:9">
      <c r="A670" t="s">
        <v>48</v>
      </c>
      <c r="B670" t="s">
        <v>30</v>
      </c>
      <c r="C670">
        <v>2023</v>
      </c>
      <c r="D670" t="s">
        <v>67</v>
      </c>
      <c r="E670">
        <v>12</v>
      </c>
      <c r="F670">
        <v>19</v>
      </c>
      <c r="G670">
        <v>-7</v>
      </c>
      <c r="H670">
        <v>0</v>
      </c>
      <c r="I670" t="s">
        <v>22</v>
      </c>
    </row>
    <row r="671" spans="1:9">
      <c r="A671" t="s">
        <v>28</v>
      </c>
      <c r="B671" t="s">
        <v>14</v>
      </c>
      <c r="C671">
        <v>2023</v>
      </c>
      <c r="D671" t="s">
        <v>67</v>
      </c>
      <c r="E671">
        <v>14</v>
      </c>
      <c r="F671">
        <v>10</v>
      </c>
      <c r="G671">
        <v>4</v>
      </c>
      <c r="H671">
        <v>1</v>
      </c>
      <c r="I671" t="s">
        <v>24</v>
      </c>
    </row>
    <row r="672" spans="1:9">
      <c r="A672" t="s">
        <v>29</v>
      </c>
      <c r="B672" t="s">
        <v>30</v>
      </c>
      <c r="C672">
        <v>2023</v>
      </c>
      <c r="D672" t="s">
        <v>67</v>
      </c>
      <c r="E672">
        <v>15</v>
      </c>
      <c r="F672">
        <v>20</v>
      </c>
      <c r="G672">
        <v>-5</v>
      </c>
      <c r="H672">
        <v>0</v>
      </c>
      <c r="I672" t="s">
        <v>22</v>
      </c>
    </row>
    <row r="673" spans="1:9">
      <c r="A673" t="s">
        <v>31</v>
      </c>
      <c r="B673" t="s">
        <v>27</v>
      </c>
      <c r="C673">
        <v>2023</v>
      </c>
      <c r="D673" t="s">
        <v>67</v>
      </c>
      <c r="E673">
        <v>6</v>
      </c>
      <c r="F673">
        <v>7</v>
      </c>
      <c r="G673">
        <v>-1</v>
      </c>
      <c r="H673">
        <v>6</v>
      </c>
      <c r="I673" t="s">
        <v>12</v>
      </c>
    </row>
    <row r="674" spans="1:9">
      <c r="A674" t="s">
        <v>32</v>
      </c>
      <c r="B674" t="s">
        <v>33</v>
      </c>
      <c r="C674">
        <v>2023</v>
      </c>
      <c r="D674" t="s">
        <v>67</v>
      </c>
      <c r="E674">
        <v>3</v>
      </c>
      <c r="F674">
        <v>2</v>
      </c>
      <c r="G674">
        <v>1</v>
      </c>
      <c r="H674">
        <v>18</v>
      </c>
      <c r="I674" t="s">
        <v>12</v>
      </c>
    </row>
    <row r="675" spans="1:9">
      <c r="A675" t="s">
        <v>34</v>
      </c>
      <c r="B675" t="s">
        <v>10</v>
      </c>
      <c r="C675">
        <v>2023</v>
      </c>
      <c r="D675" t="s">
        <v>67</v>
      </c>
      <c r="E675">
        <v>18</v>
      </c>
      <c r="F675">
        <v>6</v>
      </c>
      <c r="G675">
        <v>12</v>
      </c>
      <c r="H675">
        <v>8</v>
      </c>
      <c r="I675" t="s">
        <v>12</v>
      </c>
    </row>
    <row r="676" spans="1:9">
      <c r="A676" t="s">
        <v>35</v>
      </c>
      <c r="B676" t="s">
        <v>36</v>
      </c>
      <c r="C676">
        <v>2023</v>
      </c>
      <c r="D676" t="s">
        <v>67</v>
      </c>
      <c r="E676">
        <v>16</v>
      </c>
      <c r="F676">
        <v>11</v>
      </c>
      <c r="G676">
        <v>5</v>
      </c>
      <c r="H676">
        <v>0</v>
      </c>
      <c r="I676" t="s">
        <v>24</v>
      </c>
    </row>
    <row r="677" spans="1:9">
      <c r="A677" t="s">
        <v>37</v>
      </c>
      <c r="B677" t="s">
        <v>86</v>
      </c>
      <c r="C677">
        <v>2023</v>
      </c>
      <c r="D677" t="s">
        <v>67</v>
      </c>
      <c r="E677">
        <v>17</v>
      </c>
      <c r="F677">
        <v>15</v>
      </c>
      <c r="G677">
        <v>2</v>
      </c>
      <c r="H677">
        <v>0</v>
      </c>
      <c r="I677" t="s">
        <v>24</v>
      </c>
    </row>
    <row r="678" spans="1:9">
      <c r="A678" t="s">
        <v>39</v>
      </c>
      <c r="B678" t="s">
        <v>87</v>
      </c>
      <c r="C678">
        <v>2023</v>
      </c>
      <c r="D678" t="s">
        <v>67</v>
      </c>
      <c r="E678">
        <v>5</v>
      </c>
      <c r="F678">
        <v>16</v>
      </c>
      <c r="G678">
        <v>-11</v>
      </c>
      <c r="H678">
        <v>0</v>
      </c>
      <c r="I678" t="s">
        <v>24</v>
      </c>
    </row>
    <row r="679" spans="1:9">
      <c r="A679" t="s">
        <v>40</v>
      </c>
      <c r="B679" t="s">
        <v>33</v>
      </c>
      <c r="C679">
        <v>2023</v>
      </c>
      <c r="D679" t="s">
        <v>67</v>
      </c>
      <c r="E679">
        <v>4</v>
      </c>
      <c r="F679">
        <v>5</v>
      </c>
      <c r="G679">
        <v>-1</v>
      </c>
      <c r="H679">
        <v>10</v>
      </c>
      <c r="I679" t="s">
        <v>12</v>
      </c>
    </row>
    <row r="680" spans="1:9">
      <c r="A680" t="s">
        <v>52</v>
      </c>
      <c r="B680" t="s">
        <v>36</v>
      </c>
      <c r="C680">
        <v>2023</v>
      </c>
      <c r="D680" t="s">
        <v>67</v>
      </c>
      <c r="E680">
        <v>20</v>
      </c>
      <c r="F680">
        <v>18</v>
      </c>
      <c r="G680">
        <v>2</v>
      </c>
      <c r="H680">
        <v>0</v>
      </c>
      <c r="I680" t="s">
        <v>55</v>
      </c>
    </row>
    <row r="681" spans="1:9">
      <c r="A681" t="s">
        <v>9</v>
      </c>
      <c r="B681" t="s">
        <v>10</v>
      </c>
      <c r="C681">
        <v>2023</v>
      </c>
      <c r="D681" t="s">
        <v>69</v>
      </c>
      <c r="E681">
        <v>8</v>
      </c>
      <c r="F681">
        <v>6</v>
      </c>
      <c r="G681">
        <v>2</v>
      </c>
      <c r="H681">
        <v>8</v>
      </c>
      <c r="I681" t="s">
        <v>12</v>
      </c>
    </row>
    <row r="682" spans="1:9">
      <c r="A682" t="s">
        <v>13</v>
      </c>
      <c r="B682" t="s">
        <v>14</v>
      </c>
      <c r="C682">
        <v>2023</v>
      </c>
      <c r="D682" t="s">
        <v>69</v>
      </c>
      <c r="E682">
        <v>10</v>
      </c>
      <c r="F682">
        <v>9</v>
      </c>
      <c r="G682">
        <v>1</v>
      </c>
      <c r="H682">
        <v>2</v>
      </c>
      <c r="I682" t="s">
        <v>12</v>
      </c>
    </row>
    <row r="683" spans="1:9">
      <c r="A683" t="s">
        <v>15</v>
      </c>
      <c r="B683" t="s">
        <v>16</v>
      </c>
      <c r="C683">
        <v>2023</v>
      </c>
      <c r="D683" t="s">
        <v>69</v>
      </c>
      <c r="E683">
        <v>13</v>
      </c>
      <c r="F683">
        <v>17</v>
      </c>
      <c r="G683">
        <v>-4</v>
      </c>
      <c r="H683">
        <v>0</v>
      </c>
      <c r="I683" t="s">
        <v>24</v>
      </c>
    </row>
    <row r="684" spans="1:9">
      <c r="A684" t="s">
        <v>17</v>
      </c>
      <c r="B684" t="s">
        <v>18</v>
      </c>
      <c r="C684">
        <v>2023</v>
      </c>
      <c r="D684" t="s">
        <v>69</v>
      </c>
      <c r="E684">
        <v>5</v>
      </c>
      <c r="F684">
        <v>2</v>
      </c>
      <c r="G684">
        <v>3</v>
      </c>
      <c r="H684">
        <v>18</v>
      </c>
      <c r="I684" t="s">
        <v>12</v>
      </c>
    </row>
    <row r="685" spans="1:9">
      <c r="A685" t="s">
        <v>20</v>
      </c>
      <c r="B685" t="s">
        <v>87</v>
      </c>
      <c r="C685">
        <v>2023</v>
      </c>
      <c r="D685" t="s">
        <v>69</v>
      </c>
      <c r="E685">
        <v>14</v>
      </c>
      <c r="F685">
        <v>10</v>
      </c>
      <c r="G685">
        <v>4</v>
      </c>
      <c r="H685">
        <v>1</v>
      </c>
      <c r="I685" t="s">
        <v>12</v>
      </c>
    </row>
    <row r="686" spans="1:9">
      <c r="A686" t="s">
        <v>23</v>
      </c>
      <c r="B686" t="s">
        <v>16</v>
      </c>
      <c r="C686">
        <v>2023</v>
      </c>
      <c r="D686" t="s">
        <v>69</v>
      </c>
      <c r="E686">
        <v>19</v>
      </c>
      <c r="F686">
        <v>18</v>
      </c>
      <c r="G686">
        <v>1</v>
      </c>
      <c r="H686">
        <v>0</v>
      </c>
      <c r="I686" t="s">
        <v>24</v>
      </c>
    </row>
    <row r="687" spans="1:9">
      <c r="A687" t="s">
        <v>25</v>
      </c>
      <c r="B687" t="s">
        <v>18</v>
      </c>
      <c r="C687">
        <v>2023</v>
      </c>
      <c r="D687" t="s">
        <v>69</v>
      </c>
      <c r="E687">
        <v>2</v>
      </c>
      <c r="F687">
        <v>1</v>
      </c>
      <c r="G687">
        <v>1</v>
      </c>
      <c r="H687">
        <v>25</v>
      </c>
      <c r="I687" t="s">
        <v>12</v>
      </c>
    </row>
    <row r="688" spans="1:9">
      <c r="A688" t="s">
        <v>26</v>
      </c>
      <c r="B688" t="s">
        <v>27</v>
      </c>
      <c r="C688">
        <v>2023</v>
      </c>
      <c r="D688" t="s">
        <v>69</v>
      </c>
      <c r="E688">
        <v>1</v>
      </c>
      <c r="F688">
        <v>3</v>
      </c>
      <c r="G688">
        <v>-2</v>
      </c>
      <c r="H688">
        <v>15</v>
      </c>
      <c r="I688" t="s">
        <v>12</v>
      </c>
    </row>
    <row r="689" spans="1:9">
      <c r="A689" t="s">
        <v>48</v>
      </c>
      <c r="B689" t="s">
        <v>30</v>
      </c>
      <c r="C689">
        <v>2023</v>
      </c>
      <c r="D689" t="s">
        <v>69</v>
      </c>
      <c r="E689">
        <v>18</v>
      </c>
      <c r="F689">
        <v>19</v>
      </c>
      <c r="G689">
        <v>-1</v>
      </c>
      <c r="H689">
        <v>0</v>
      </c>
      <c r="I689" t="s">
        <v>94</v>
      </c>
    </row>
    <row r="690" spans="1:9">
      <c r="A690" t="s">
        <v>28</v>
      </c>
      <c r="B690" t="s">
        <v>14</v>
      </c>
      <c r="C690">
        <v>2023</v>
      </c>
      <c r="D690" t="s">
        <v>69</v>
      </c>
      <c r="E690">
        <v>20</v>
      </c>
      <c r="F690">
        <v>16</v>
      </c>
      <c r="G690">
        <v>4</v>
      </c>
      <c r="H690">
        <v>0</v>
      </c>
      <c r="I690" t="s">
        <v>12</v>
      </c>
    </row>
    <row r="691" spans="1:9">
      <c r="A691" t="s">
        <v>29</v>
      </c>
      <c r="B691" t="s">
        <v>30</v>
      </c>
      <c r="C691">
        <v>2023</v>
      </c>
      <c r="D691" t="s">
        <v>69</v>
      </c>
      <c r="E691">
        <v>17</v>
      </c>
      <c r="F691">
        <v>15</v>
      </c>
      <c r="G691">
        <v>2</v>
      </c>
      <c r="H691">
        <v>0</v>
      </c>
      <c r="I691" t="s">
        <v>12</v>
      </c>
    </row>
    <row r="692" spans="1:9">
      <c r="A692" t="s">
        <v>31</v>
      </c>
      <c r="B692" t="s">
        <v>27</v>
      </c>
      <c r="C692">
        <v>2023</v>
      </c>
      <c r="D692" t="s">
        <v>69</v>
      </c>
      <c r="E692">
        <v>3</v>
      </c>
      <c r="F692">
        <v>4</v>
      </c>
      <c r="G692">
        <v>-1</v>
      </c>
      <c r="H692">
        <v>12</v>
      </c>
      <c r="I692" t="s">
        <v>12</v>
      </c>
    </row>
    <row r="693" spans="1:9">
      <c r="A693" t="s">
        <v>32</v>
      </c>
      <c r="B693" t="s">
        <v>33</v>
      </c>
      <c r="C693">
        <v>2023</v>
      </c>
      <c r="D693" t="s">
        <v>69</v>
      </c>
      <c r="E693">
        <v>9</v>
      </c>
      <c r="F693">
        <v>8</v>
      </c>
      <c r="G693">
        <v>1</v>
      </c>
      <c r="H693">
        <v>4</v>
      </c>
      <c r="I693" t="s">
        <v>12</v>
      </c>
    </row>
    <row r="694" spans="1:9">
      <c r="A694" t="s">
        <v>34</v>
      </c>
      <c r="B694" t="s">
        <v>10</v>
      </c>
      <c r="C694">
        <v>2023</v>
      </c>
      <c r="D694" t="s">
        <v>69</v>
      </c>
      <c r="E694">
        <v>4</v>
      </c>
      <c r="F694">
        <v>5</v>
      </c>
      <c r="G694">
        <v>-1</v>
      </c>
      <c r="H694">
        <v>10</v>
      </c>
      <c r="I694" t="s">
        <v>12</v>
      </c>
    </row>
    <row r="695" spans="1:9">
      <c r="A695" t="s">
        <v>35</v>
      </c>
      <c r="B695" t="s">
        <v>36</v>
      </c>
      <c r="C695">
        <v>2023</v>
      </c>
      <c r="D695" t="s">
        <v>69</v>
      </c>
      <c r="E695">
        <v>6</v>
      </c>
      <c r="F695">
        <v>7</v>
      </c>
      <c r="G695">
        <v>-1</v>
      </c>
      <c r="H695">
        <v>6</v>
      </c>
      <c r="I695" t="s">
        <v>12</v>
      </c>
    </row>
    <row r="696" spans="1:9">
      <c r="A696" t="s">
        <v>37</v>
      </c>
      <c r="B696" t="s">
        <v>86</v>
      </c>
      <c r="C696">
        <v>2023</v>
      </c>
      <c r="D696" t="s">
        <v>69</v>
      </c>
      <c r="E696">
        <v>11</v>
      </c>
      <c r="F696">
        <v>20</v>
      </c>
      <c r="G696">
        <v>-9</v>
      </c>
      <c r="H696">
        <v>0</v>
      </c>
      <c r="I696" t="s">
        <v>42</v>
      </c>
    </row>
    <row r="697" spans="1:9">
      <c r="A697" t="s">
        <v>39</v>
      </c>
      <c r="B697" t="s">
        <v>87</v>
      </c>
      <c r="C697">
        <v>2023</v>
      </c>
      <c r="D697" t="s">
        <v>69</v>
      </c>
      <c r="E697">
        <v>16</v>
      </c>
      <c r="F697">
        <v>14</v>
      </c>
      <c r="G697">
        <v>2</v>
      </c>
      <c r="H697">
        <v>0</v>
      </c>
      <c r="I697" t="s">
        <v>12</v>
      </c>
    </row>
    <row r="698" spans="1:9">
      <c r="A698" t="s">
        <v>40</v>
      </c>
      <c r="B698" t="s">
        <v>33</v>
      </c>
      <c r="C698">
        <v>2023</v>
      </c>
      <c r="D698" t="s">
        <v>69</v>
      </c>
      <c r="E698">
        <v>7</v>
      </c>
      <c r="F698">
        <v>12</v>
      </c>
      <c r="G698">
        <v>-5</v>
      </c>
      <c r="H698">
        <v>0</v>
      </c>
      <c r="I698" t="s">
        <v>12</v>
      </c>
    </row>
    <row r="699" spans="1:9">
      <c r="A699" t="s">
        <v>52</v>
      </c>
      <c r="B699" t="s">
        <v>36</v>
      </c>
      <c r="C699">
        <v>2023</v>
      </c>
      <c r="D699" t="s">
        <v>69</v>
      </c>
      <c r="E699">
        <v>15</v>
      </c>
      <c r="F699">
        <v>13</v>
      </c>
      <c r="G699">
        <v>2</v>
      </c>
      <c r="H699">
        <v>0</v>
      </c>
      <c r="I699" t="s">
        <v>12</v>
      </c>
    </row>
    <row r="700" spans="1:9">
      <c r="A700" t="s">
        <v>41</v>
      </c>
      <c r="B700" t="s">
        <v>86</v>
      </c>
      <c r="C700">
        <v>2023</v>
      </c>
      <c r="D700" t="s">
        <v>69</v>
      </c>
      <c r="E700">
        <v>12</v>
      </c>
      <c r="F700">
        <v>11</v>
      </c>
      <c r="G700">
        <v>1</v>
      </c>
      <c r="H700">
        <v>0</v>
      </c>
      <c r="I700" t="s">
        <v>12</v>
      </c>
    </row>
    <row r="701" spans="1:9">
      <c r="A701" t="s">
        <v>9</v>
      </c>
      <c r="B701" t="s">
        <v>10</v>
      </c>
      <c r="C701">
        <v>2023</v>
      </c>
      <c r="D701" t="s">
        <v>71</v>
      </c>
      <c r="E701">
        <v>7</v>
      </c>
      <c r="F701">
        <v>5</v>
      </c>
      <c r="G701">
        <v>2</v>
      </c>
      <c r="H701">
        <v>10</v>
      </c>
      <c r="I701" t="s">
        <v>12</v>
      </c>
    </row>
    <row r="702" spans="1:9">
      <c r="A702" t="s">
        <v>13</v>
      </c>
      <c r="B702" t="s">
        <v>14</v>
      </c>
      <c r="C702">
        <v>2023</v>
      </c>
      <c r="D702" t="s">
        <v>71</v>
      </c>
      <c r="E702">
        <v>10</v>
      </c>
      <c r="F702">
        <v>8</v>
      </c>
      <c r="G702">
        <v>2</v>
      </c>
      <c r="H702">
        <v>4</v>
      </c>
      <c r="I702" t="s">
        <v>12</v>
      </c>
    </row>
    <row r="703" spans="1:9">
      <c r="A703" t="s">
        <v>15</v>
      </c>
      <c r="B703" t="s">
        <v>16</v>
      </c>
      <c r="C703">
        <v>2023</v>
      </c>
      <c r="D703" t="s">
        <v>71</v>
      </c>
      <c r="E703">
        <v>18</v>
      </c>
      <c r="F703">
        <v>14</v>
      </c>
      <c r="G703">
        <v>4</v>
      </c>
      <c r="H703">
        <v>0</v>
      </c>
      <c r="I703" t="s">
        <v>24</v>
      </c>
    </row>
    <row r="704" spans="1:9">
      <c r="A704" t="s">
        <v>17</v>
      </c>
      <c r="B704" t="s">
        <v>18</v>
      </c>
      <c r="C704">
        <v>2023</v>
      </c>
      <c r="D704" t="s">
        <v>71</v>
      </c>
      <c r="E704">
        <v>5</v>
      </c>
      <c r="F704">
        <v>19</v>
      </c>
      <c r="G704">
        <v>-14</v>
      </c>
      <c r="H704">
        <v>0</v>
      </c>
      <c r="I704" t="s">
        <v>22</v>
      </c>
    </row>
    <row r="705" spans="1:9">
      <c r="A705" t="s">
        <v>20</v>
      </c>
      <c r="B705" t="s">
        <v>87</v>
      </c>
      <c r="C705">
        <v>2023</v>
      </c>
      <c r="D705" t="s">
        <v>71</v>
      </c>
      <c r="E705">
        <v>16</v>
      </c>
      <c r="F705">
        <v>20</v>
      </c>
      <c r="G705">
        <v>-4</v>
      </c>
      <c r="H705">
        <v>0</v>
      </c>
      <c r="I705" t="s">
        <v>22</v>
      </c>
    </row>
    <row r="706" spans="1:9">
      <c r="A706" t="s">
        <v>23</v>
      </c>
      <c r="B706" t="s">
        <v>16</v>
      </c>
      <c r="C706">
        <v>2023</v>
      </c>
      <c r="D706" t="s">
        <v>71</v>
      </c>
      <c r="E706">
        <v>15</v>
      </c>
      <c r="F706">
        <v>15</v>
      </c>
      <c r="G706">
        <v>0</v>
      </c>
      <c r="H706">
        <v>0</v>
      </c>
      <c r="I706" t="s">
        <v>24</v>
      </c>
    </row>
    <row r="707" spans="1:9">
      <c r="A707" t="s">
        <v>25</v>
      </c>
      <c r="B707" t="s">
        <v>18</v>
      </c>
      <c r="C707">
        <v>2023</v>
      </c>
      <c r="D707" t="s">
        <v>71</v>
      </c>
      <c r="E707">
        <v>1</v>
      </c>
      <c r="F707">
        <v>1</v>
      </c>
      <c r="G707">
        <v>0</v>
      </c>
      <c r="H707">
        <v>26</v>
      </c>
      <c r="I707" t="s">
        <v>12</v>
      </c>
    </row>
    <row r="708" spans="1:9">
      <c r="A708" t="s">
        <v>26</v>
      </c>
      <c r="B708" t="s">
        <v>27</v>
      </c>
      <c r="C708">
        <v>2023</v>
      </c>
      <c r="D708" t="s">
        <v>71</v>
      </c>
      <c r="E708">
        <v>6</v>
      </c>
      <c r="F708">
        <v>6</v>
      </c>
      <c r="G708">
        <v>0</v>
      </c>
      <c r="H708">
        <v>8</v>
      </c>
      <c r="I708" t="s">
        <v>12</v>
      </c>
    </row>
    <row r="709" spans="1:9">
      <c r="A709" t="s">
        <v>48</v>
      </c>
      <c r="B709" t="s">
        <v>30</v>
      </c>
      <c r="C709">
        <v>2023</v>
      </c>
      <c r="D709" t="s">
        <v>71</v>
      </c>
      <c r="E709">
        <v>14</v>
      </c>
      <c r="F709">
        <v>9</v>
      </c>
      <c r="G709">
        <v>5</v>
      </c>
      <c r="H709">
        <v>2</v>
      </c>
      <c r="I709" t="s">
        <v>12</v>
      </c>
    </row>
    <row r="710" spans="1:9">
      <c r="A710" t="s">
        <v>28</v>
      </c>
      <c r="B710" t="s">
        <v>14</v>
      </c>
      <c r="C710">
        <v>2023</v>
      </c>
      <c r="D710" t="s">
        <v>71</v>
      </c>
      <c r="E710">
        <v>17</v>
      </c>
      <c r="F710">
        <v>18</v>
      </c>
      <c r="G710">
        <v>-1</v>
      </c>
      <c r="H710">
        <v>0</v>
      </c>
      <c r="I710" t="s">
        <v>95</v>
      </c>
    </row>
    <row r="711" spans="1:9">
      <c r="A711" t="s">
        <v>29</v>
      </c>
      <c r="B711" t="s">
        <v>30</v>
      </c>
      <c r="C711">
        <v>2023</v>
      </c>
      <c r="D711" t="s">
        <v>71</v>
      </c>
      <c r="E711">
        <v>12</v>
      </c>
      <c r="F711">
        <v>10</v>
      </c>
      <c r="G711">
        <v>2</v>
      </c>
      <c r="H711">
        <v>1</v>
      </c>
      <c r="I711" t="s">
        <v>12</v>
      </c>
    </row>
    <row r="712" spans="1:9">
      <c r="A712" t="s">
        <v>31</v>
      </c>
      <c r="B712" t="s">
        <v>27</v>
      </c>
      <c r="C712">
        <v>2023</v>
      </c>
      <c r="D712" t="s">
        <v>71</v>
      </c>
      <c r="E712">
        <v>4</v>
      </c>
      <c r="F712">
        <v>4</v>
      </c>
      <c r="G712">
        <v>0</v>
      </c>
      <c r="H712">
        <v>12</v>
      </c>
      <c r="I712" t="s">
        <v>12</v>
      </c>
    </row>
    <row r="713" spans="1:9">
      <c r="A713" t="s">
        <v>32</v>
      </c>
      <c r="B713" t="s">
        <v>33</v>
      </c>
      <c r="C713">
        <v>2023</v>
      </c>
      <c r="D713" t="s">
        <v>71</v>
      </c>
      <c r="E713">
        <v>3</v>
      </c>
      <c r="F713">
        <v>2</v>
      </c>
      <c r="G713">
        <v>1</v>
      </c>
      <c r="H713">
        <v>18</v>
      </c>
      <c r="I713" t="s">
        <v>12</v>
      </c>
    </row>
    <row r="714" spans="1:9">
      <c r="A714" t="s">
        <v>34</v>
      </c>
      <c r="B714" t="s">
        <v>10</v>
      </c>
      <c r="C714">
        <v>2023</v>
      </c>
      <c r="D714" t="s">
        <v>71</v>
      </c>
      <c r="E714">
        <v>8</v>
      </c>
      <c r="F714">
        <v>7</v>
      </c>
      <c r="G714">
        <v>1</v>
      </c>
      <c r="H714">
        <v>6</v>
      </c>
      <c r="I714" t="s">
        <v>12</v>
      </c>
    </row>
    <row r="715" spans="1:9">
      <c r="A715" t="s">
        <v>35</v>
      </c>
      <c r="B715" t="s">
        <v>36</v>
      </c>
      <c r="C715">
        <v>2023</v>
      </c>
      <c r="D715" t="s">
        <v>71</v>
      </c>
      <c r="E715">
        <v>13</v>
      </c>
      <c r="F715">
        <v>16</v>
      </c>
      <c r="G715">
        <v>-3</v>
      </c>
      <c r="H715">
        <v>0</v>
      </c>
      <c r="I715" t="s">
        <v>22</v>
      </c>
    </row>
    <row r="716" spans="1:9">
      <c r="A716" t="s">
        <v>37</v>
      </c>
      <c r="B716" t="s">
        <v>86</v>
      </c>
      <c r="C716">
        <v>2023</v>
      </c>
      <c r="D716" t="s">
        <v>71</v>
      </c>
      <c r="E716">
        <v>9</v>
      </c>
      <c r="F716">
        <v>12</v>
      </c>
      <c r="G716">
        <v>-3</v>
      </c>
      <c r="H716">
        <v>0</v>
      </c>
      <c r="I716" t="s">
        <v>24</v>
      </c>
    </row>
    <row r="717" spans="1:9">
      <c r="A717" t="s">
        <v>39</v>
      </c>
      <c r="B717" t="s">
        <v>87</v>
      </c>
      <c r="C717">
        <v>2023</v>
      </c>
      <c r="D717" t="s">
        <v>71</v>
      </c>
      <c r="E717">
        <v>19</v>
      </c>
      <c r="F717">
        <v>13</v>
      </c>
      <c r="G717">
        <v>6</v>
      </c>
      <c r="H717">
        <v>0</v>
      </c>
      <c r="I717" t="s">
        <v>24</v>
      </c>
    </row>
    <row r="718" spans="1:9">
      <c r="A718" t="s">
        <v>40</v>
      </c>
      <c r="B718" t="s">
        <v>33</v>
      </c>
      <c r="C718">
        <v>2023</v>
      </c>
      <c r="D718" t="s">
        <v>71</v>
      </c>
      <c r="E718">
        <v>2</v>
      </c>
      <c r="F718">
        <v>3</v>
      </c>
      <c r="G718">
        <v>-1</v>
      </c>
      <c r="H718">
        <v>15</v>
      </c>
      <c r="I718" t="s">
        <v>12</v>
      </c>
    </row>
    <row r="719" spans="1:9">
      <c r="A719" t="s">
        <v>52</v>
      </c>
      <c r="B719" t="s">
        <v>36</v>
      </c>
      <c r="C719">
        <v>2023</v>
      </c>
      <c r="D719" t="s">
        <v>71</v>
      </c>
      <c r="E719">
        <v>0</v>
      </c>
      <c r="F719">
        <v>17</v>
      </c>
      <c r="G719">
        <v>-17</v>
      </c>
      <c r="H719">
        <v>0</v>
      </c>
      <c r="I719" t="s">
        <v>22</v>
      </c>
    </row>
    <row r="720" spans="1:9">
      <c r="A720" t="s">
        <v>41</v>
      </c>
      <c r="B720" t="s">
        <v>86</v>
      </c>
      <c r="C720">
        <v>2023</v>
      </c>
      <c r="D720" t="s">
        <v>71</v>
      </c>
      <c r="E720">
        <v>11</v>
      </c>
      <c r="F720">
        <v>11</v>
      </c>
      <c r="G720">
        <v>0</v>
      </c>
      <c r="H720">
        <v>0</v>
      </c>
      <c r="I720" t="s">
        <v>24</v>
      </c>
    </row>
    <row r="721" spans="1:9">
      <c r="A721" t="s">
        <v>9</v>
      </c>
      <c r="B721" t="s">
        <v>10</v>
      </c>
      <c r="C721">
        <v>2023</v>
      </c>
      <c r="D721" t="s">
        <v>72</v>
      </c>
      <c r="E721">
        <v>10</v>
      </c>
      <c r="F721">
        <v>7</v>
      </c>
      <c r="G721">
        <v>3</v>
      </c>
      <c r="H721">
        <v>6</v>
      </c>
      <c r="I721" t="s">
        <v>12</v>
      </c>
    </row>
    <row r="722" spans="1:9">
      <c r="A722" t="s">
        <v>13</v>
      </c>
      <c r="B722" t="s">
        <v>14</v>
      </c>
      <c r="C722">
        <v>2023</v>
      </c>
      <c r="D722" t="s">
        <v>72</v>
      </c>
      <c r="E722">
        <v>9</v>
      </c>
      <c r="F722">
        <v>9</v>
      </c>
      <c r="G722">
        <v>0</v>
      </c>
      <c r="H722">
        <v>2</v>
      </c>
      <c r="I722" t="s">
        <v>12</v>
      </c>
    </row>
    <row r="723" spans="1:9">
      <c r="A723" t="s">
        <v>15</v>
      </c>
      <c r="B723" t="s">
        <v>16</v>
      </c>
      <c r="C723">
        <v>2023</v>
      </c>
      <c r="D723" t="s">
        <v>72</v>
      </c>
      <c r="E723">
        <v>13</v>
      </c>
      <c r="F723">
        <v>19</v>
      </c>
      <c r="G723">
        <v>-6</v>
      </c>
      <c r="H723">
        <v>0</v>
      </c>
      <c r="I723" t="s">
        <v>42</v>
      </c>
    </row>
    <row r="724" spans="1:9">
      <c r="A724" t="s">
        <v>17</v>
      </c>
      <c r="B724" t="s">
        <v>18</v>
      </c>
      <c r="C724">
        <v>2023</v>
      </c>
      <c r="D724" t="s">
        <v>72</v>
      </c>
      <c r="E724">
        <v>11</v>
      </c>
      <c r="F724">
        <v>3</v>
      </c>
      <c r="G724">
        <v>8</v>
      </c>
      <c r="H724">
        <v>15</v>
      </c>
      <c r="I724" t="s">
        <v>12</v>
      </c>
    </row>
    <row r="725" spans="1:9">
      <c r="A725" t="s">
        <v>46</v>
      </c>
      <c r="B725" t="s">
        <v>86</v>
      </c>
      <c r="C725">
        <v>2023</v>
      </c>
      <c r="D725" t="s">
        <v>72</v>
      </c>
      <c r="E725">
        <v>14</v>
      </c>
      <c r="F725">
        <v>14</v>
      </c>
      <c r="G725">
        <v>0</v>
      </c>
      <c r="H725">
        <v>0</v>
      </c>
      <c r="I725" t="s">
        <v>12</v>
      </c>
    </row>
    <row r="726" spans="1:9">
      <c r="A726" t="s">
        <v>20</v>
      </c>
      <c r="B726" t="s">
        <v>87</v>
      </c>
      <c r="C726">
        <v>2023</v>
      </c>
      <c r="D726" t="s">
        <v>72</v>
      </c>
      <c r="E726">
        <v>7</v>
      </c>
      <c r="F726">
        <v>17</v>
      </c>
      <c r="G726">
        <v>-10</v>
      </c>
      <c r="H726">
        <v>0</v>
      </c>
      <c r="I726" t="s">
        <v>12</v>
      </c>
    </row>
    <row r="727" spans="1:9">
      <c r="A727" t="s">
        <v>23</v>
      </c>
      <c r="B727" t="s">
        <v>16</v>
      </c>
      <c r="C727">
        <v>2023</v>
      </c>
      <c r="D727" t="s">
        <v>72</v>
      </c>
      <c r="E727">
        <v>8</v>
      </c>
      <c r="F727">
        <v>13</v>
      </c>
      <c r="G727">
        <v>-5</v>
      </c>
      <c r="H727">
        <v>0</v>
      </c>
      <c r="I727" t="s">
        <v>12</v>
      </c>
    </row>
    <row r="728" spans="1:9">
      <c r="A728" t="s">
        <v>25</v>
      </c>
      <c r="B728" t="s">
        <v>18</v>
      </c>
      <c r="C728">
        <v>2023</v>
      </c>
      <c r="D728" t="s">
        <v>72</v>
      </c>
      <c r="E728">
        <v>2</v>
      </c>
      <c r="F728">
        <v>1</v>
      </c>
      <c r="G728">
        <v>1</v>
      </c>
      <c r="H728">
        <v>25</v>
      </c>
      <c r="I728" t="s">
        <v>12</v>
      </c>
    </row>
    <row r="729" spans="1:9">
      <c r="A729" t="s">
        <v>26</v>
      </c>
      <c r="B729" t="s">
        <v>27</v>
      </c>
      <c r="C729">
        <v>2023</v>
      </c>
      <c r="D729" t="s">
        <v>72</v>
      </c>
      <c r="E729">
        <v>12</v>
      </c>
      <c r="F729">
        <v>6</v>
      </c>
      <c r="G729">
        <v>6</v>
      </c>
      <c r="H729">
        <v>8</v>
      </c>
      <c r="I729" t="s">
        <v>12</v>
      </c>
    </row>
    <row r="730" spans="1:9">
      <c r="A730" t="s">
        <v>48</v>
      </c>
      <c r="B730" t="s">
        <v>30</v>
      </c>
      <c r="C730">
        <v>2023</v>
      </c>
      <c r="D730" t="s">
        <v>72</v>
      </c>
      <c r="E730">
        <v>16</v>
      </c>
      <c r="F730">
        <v>4</v>
      </c>
      <c r="G730">
        <v>12</v>
      </c>
      <c r="H730">
        <v>12</v>
      </c>
      <c r="I730" t="s">
        <v>12</v>
      </c>
    </row>
    <row r="731" spans="1:9">
      <c r="A731" t="s">
        <v>28</v>
      </c>
      <c r="B731" t="s">
        <v>14</v>
      </c>
      <c r="C731">
        <v>2023</v>
      </c>
      <c r="D731" t="s">
        <v>72</v>
      </c>
      <c r="E731">
        <v>19</v>
      </c>
      <c r="F731">
        <v>5</v>
      </c>
      <c r="G731">
        <v>14</v>
      </c>
      <c r="H731">
        <v>10</v>
      </c>
      <c r="I731" t="s">
        <v>12</v>
      </c>
    </row>
    <row r="732" spans="1:9">
      <c r="A732" t="s">
        <v>29</v>
      </c>
      <c r="B732" t="s">
        <v>30</v>
      </c>
      <c r="C732">
        <v>2023</v>
      </c>
      <c r="D732" t="s">
        <v>72</v>
      </c>
      <c r="E732">
        <v>4</v>
      </c>
      <c r="F732">
        <v>11</v>
      </c>
      <c r="G732">
        <v>-7</v>
      </c>
      <c r="H732">
        <v>0</v>
      </c>
      <c r="I732" t="s">
        <v>12</v>
      </c>
    </row>
    <row r="733" spans="1:9">
      <c r="A733" t="s">
        <v>31</v>
      </c>
      <c r="B733" t="s">
        <v>27</v>
      </c>
      <c r="C733">
        <v>2023</v>
      </c>
      <c r="D733" t="s">
        <v>72</v>
      </c>
      <c r="E733">
        <v>1</v>
      </c>
      <c r="F733">
        <v>2</v>
      </c>
      <c r="G733">
        <v>-1</v>
      </c>
      <c r="H733">
        <v>18</v>
      </c>
      <c r="I733" t="s">
        <v>12</v>
      </c>
    </row>
    <row r="734" spans="1:9">
      <c r="A734" t="s">
        <v>32</v>
      </c>
      <c r="B734" t="s">
        <v>33</v>
      </c>
      <c r="C734">
        <v>2023</v>
      </c>
      <c r="D734" t="s">
        <v>72</v>
      </c>
      <c r="E734">
        <v>15</v>
      </c>
      <c r="F734">
        <v>20</v>
      </c>
      <c r="G734">
        <v>-5</v>
      </c>
      <c r="H734">
        <v>0</v>
      </c>
      <c r="I734" t="s">
        <v>49</v>
      </c>
    </row>
    <row r="735" spans="1:9">
      <c r="A735" t="s">
        <v>34</v>
      </c>
      <c r="B735" t="s">
        <v>10</v>
      </c>
      <c r="C735">
        <v>2023</v>
      </c>
      <c r="D735" t="s">
        <v>72</v>
      </c>
      <c r="E735">
        <v>3</v>
      </c>
      <c r="F735">
        <v>8</v>
      </c>
      <c r="G735">
        <v>-5</v>
      </c>
      <c r="H735">
        <v>4</v>
      </c>
      <c r="I735" t="s">
        <v>12</v>
      </c>
    </row>
    <row r="736" spans="1:9">
      <c r="A736" t="s">
        <v>35</v>
      </c>
      <c r="B736" t="s">
        <v>36</v>
      </c>
      <c r="C736">
        <v>2023</v>
      </c>
      <c r="D736" t="s">
        <v>72</v>
      </c>
      <c r="E736">
        <v>5</v>
      </c>
      <c r="F736">
        <v>12</v>
      </c>
      <c r="G736">
        <v>-7</v>
      </c>
      <c r="H736">
        <v>0</v>
      </c>
      <c r="I736" t="s">
        <v>12</v>
      </c>
    </row>
    <row r="737" spans="1:9">
      <c r="A737" t="s">
        <v>37</v>
      </c>
      <c r="B737" t="s">
        <v>86</v>
      </c>
      <c r="C737">
        <v>2023</v>
      </c>
      <c r="D737" t="s">
        <v>72</v>
      </c>
      <c r="E737">
        <v>20</v>
      </c>
      <c r="F737">
        <v>18</v>
      </c>
      <c r="G737">
        <v>2</v>
      </c>
      <c r="H737">
        <v>0</v>
      </c>
      <c r="I737" t="s">
        <v>61</v>
      </c>
    </row>
    <row r="738" spans="1:9">
      <c r="A738" t="s">
        <v>39</v>
      </c>
      <c r="B738" t="s">
        <v>87</v>
      </c>
      <c r="C738">
        <v>2023</v>
      </c>
      <c r="D738" t="s">
        <v>72</v>
      </c>
      <c r="E738">
        <v>17</v>
      </c>
      <c r="F738">
        <v>15</v>
      </c>
      <c r="G738">
        <v>2</v>
      </c>
      <c r="H738">
        <v>0</v>
      </c>
      <c r="I738" t="s">
        <v>12</v>
      </c>
    </row>
    <row r="739" spans="1:9">
      <c r="A739" t="s">
        <v>40</v>
      </c>
      <c r="B739" t="s">
        <v>33</v>
      </c>
      <c r="C739">
        <v>2023</v>
      </c>
      <c r="D739" t="s">
        <v>72</v>
      </c>
      <c r="E739">
        <v>18</v>
      </c>
      <c r="F739">
        <v>10</v>
      </c>
      <c r="G739">
        <v>8</v>
      </c>
      <c r="H739">
        <v>2</v>
      </c>
      <c r="I739" t="s">
        <v>12</v>
      </c>
    </row>
    <row r="740" spans="1:9">
      <c r="A740" t="s">
        <v>52</v>
      </c>
      <c r="B740" t="s">
        <v>36</v>
      </c>
      <c r="C740">
        <v>2023</v>
      </c>
      <c r="D740" t="s">
        <v>72</v>
      </c>
      <c r="E740">
        <v>6</v>
      </c>
      <c r="F740">
        <v>16</v>
      </c>
      <c r="G740">
        <v>-10</v>
      </c>
      <c r="H740">
        <v>0</v>
      </c>
      <c r="I740" t="s">
        <v>12</v>
      </c>
    </row>
    <row r="741" spans="1:9">
      <c r="A741" t="s">
        <v>9</v>
      </c>
      <c r="B741" t="s">
        <v>10</v>
      </c>
      <c r="C741">
        <v>2023</v>
      </c>
      <c r="D741" t="s">
        <v>74</v>
      </c>
      <c r="E741">
        <v>6</v>
      </c>
      <c r="F741">
        <v>2</v>
      </c>
      <c r="G741">
        <v>4</v>
      </c>
      <c r="H741">
        <v>19</v>
      </c>
      <c r="I741" t="s">
        <v>12</v>
      </c>
    </row>
    <row r="742" spans="1:9">
      <c r="A742" t="s">
        <v>13</v>
      </c>
      <c r="B742" t="s">
        <v>14</v>
      </c>
      <c r="C742">
        <v>2023</v>
      </c>
      <c r="D742" t="s">
        <v>74</v>
      </c>
      <c r="E742">
        <v>13</v>
      </c>
      <c r="F742">
        <v>18</v>
      </c>
      <c r="G742">
        <v>-5</v>
      </c>
      <c r="H742">
        <v>0</v>
      </c>
      <c r="I742" t="s">
        <v>84</v>
      </c>
    </row>
    <row r="743" spans="1:9">
      <c r="A743" t="s">
        <v>15</v>
      </c>
      <c r="B743" t="s">
        <v>16</v>
      </c>
      <c r="C743">
        <v>2023</v>
      </c>
      <c r="D743" t="s">
        <v>74</v>
      </c>
      <c r="E743">
        <v>12</v>
      </c>
      <c r="F743">
        <v>13</v>
      </c>
      <c r="G743">
        <v>-1</v>
      </c>
      <c r="H743">
        <v>0</v>
      </c>
      <c r="I743" t="s">
        <v>12</v>
      </c>
    </row>
    <row r="744" spans="1:9">
      <c r="A744" t="s">
        <v>17</v>
      </c>
      <c r="B744" t="s">
        <v>18</v>
      </c>
      <c r="C744">
        <v>2023</v>
      </c>
      <c r="D744" t="s">
        <v>74</v>
      </c>
      <c r="E744">
        <v>5</v>
      </c>
      <c r="F744">
        <v>20</v>
      </c>
      <c r="G744">
        <v>-15</v>
      </c>
      <c r="H744">
        <v>0</v>
      </c>
      <c r="I744" t="s">
        <v>22</v>
      </c>
    </row>
    <row r="745" spans="1:9">
      <c r="A745" t="s">
        <v>46</v>
      </c>
      <c r="B745" t="s">
        <v>86</v>
      </c>
      <c r="C745">
        <v>2023</v>
      </c>
      <c r="D745" t="s">
        <v>74</v>
      </c>
      <c r="E745">
        <v>4</v>
      </c>
      <c r="F745">
        <v>7</v>
      </c>
      <c r="G745">
        <v>-3</v>
      </c>
      <c r="H745">
        <v>6</v>
      </c>
      <c r="I745" t="s">
        <v>12</v>
      </c>
    </row>
    <row r="746" spans="1:9">
      <c r="A746" t="s">
        <v>20</v>
      </c>
      <c r="B746" t="s">
        <v>87</v>
      </c>
      <c r="C746">
        <v>2023</v>
      </c>
      <c r="D746" t="s">
        <v>74</v>
      </c>
      <c r="E746">
        <v>9</v>
      </c>
      <c r="F746">
        <v>15</v>
      </c>
      <c r="G746">
        <v>-6</v>
      </c>
      <c r="H746">
        <v>0</v>
      </c>
      <c r="I746" t="s">
        <v>12</v>
      </c>
    </row>
    <row r="747" spans="1:9">
      <c r="A747" t="s">
        <v>23</v>
      </c>
      <c r="B747" t="s">
        <v>16</v>
      </c>
      <c r="C747">
        <v>2023</v>
      </c>
      <c r="D747" t="s">
        <v>74</v>
      </c>
      <c r="E747">
        <v>16</v>
      </c>
      <c r="F747">
        <v>19</v>
      </c>
      <c r="G747">
        <v>-3</v>
      </c>
      <c r="H747">
        <v>0</v>
      </c>
      <c r="I747" t="s">
        <v>49</v>
      </c>
    </row>
    <row r="748" spans="1:9">
      <c r="A748" t="s">
        <v>25</v>
      </c>
      <c r="B748" t="s">
        <v>18</v>
      </c>
      <c r="C748">
        <v>2023</v>
      </c>
      <c r="D748" t="s">
        <v>74</v>
      </c>
      <c r="E748">
        <v>3</v>
      </c>
      <c r="F748">
        <v>1</v>
      </c>
      <c r="G748">
        <v>2</v>
      </c>
      <c r="H748">
        <v>25</v>
      </c>
      <c r="I748" t="s">
        <v>12</v>
      </c>
    </row>
    <row r="749" spans="1:9">
      <c r="A749" t="s">
        <v>26</v>
      </c>
      <c r="B749" t="s">
        <v>27</v>
      </c>
      <c r="C749">
        <v>2023</v>
      </c>
      <c r="D749" t="s">
        <v>74</v>
      </c>
      <c r="E749">
        <v>2</v>
      </c>
      <c r="F749">
        <v>4</v>
      </c>
      <c r="G749">
        <v>-2</v>
      </c>
      <c r="H749">
        <v>12</v>
      </c>
      <c r="I749" t="s">
        <v>12</v>
      </c>
    </row>
    <row r="750" spans="1:9">
      <c r="A750" t="s">
        <v>48</v>
      </c>
      <c r="B750" t="s">
        <v>30</v>
      </c>
      <c r="C750">
        <v>2023</v>
      </c>
      <c r="D750" t="s">
        <v>74</v>
      </c>
      <c r="E750">
        <v>15</v>
      </c>
      <c r="F750">
        <v>10</v>
      </c>
      <c r="G750">
        <v>5</v>
      </c>
      <c r="H750">
        <v>1</v>
      </c>
      <c r="I750" t="s">
        <v>12</v>
      </c>
    </row>
    <row r="751" spans="1:9">
      <c r="A751" t="s">
        <v>28</v>
      </c>
      <c r="B751" t="s">
        <v>14</v>
      </c>
      <c r="C751">
        <v>2023</v>
      </c>
      <c r="D751" t="s">
        <v>74</v>
      </c>
      <c r="E751">
        <v>0</v>
      </c>
      <c r="F751">
        <v>17</v>
      </c>
      <c r="G751">
        <v>-17</v>
      </c>
      <c r="H751">
        <v>0</v>
      </c>
      <c r="I751" t="s">
        <v>22</v>
      </c>
    </row>
    <row r="752" spans="1:9">
      <c r="A752" t="s">
        <v>29</v>
      </c>
      <c r="B752" t="s">
        <v>30</v>
      </c>
      <c r="C752">
        <v>2023</v>
      </c>
      <c r="D752" t="s">
        <v>74</v>
      </c>
      <c r="E752">
        <v>11</v>
      </c>
      <c r="F752">
        <v>11</v>
      </c>
      <c r="G752">
        <v>0</v>
      </c>
      <c r="H752">
        <v>0</v>
      </c>
      <c r="I752" t="s">
        <v>12</v>
      </c>
    </row>
    <row r="753" spans="1:9">
      <c r="A753" t="s">
        <v>31</v>
      </c>
      <c r="B753" t="s">
        <v>27</v>
      </c>
      <c r="C753">
        <v>2023</v>
      </c>
      <c r="D753" t="s">
        <v>74</v>
      </c>
      <c r="E753">
        <v>1</v>
      </c>
      <c r="F753">
        <v>3</v>
      </c>
      <c r="G753">
        <v>-2</v>
      </c>
      <c r="H753">
        <v>15</v>
      </c>
      <c r="I753" t="s">
        <v>12</v>
      </c>
    </row>
    <row r="754" spans="1:9">
      <c r="A754" t="s">
        <v>32</v>
      </c>
      <c r="B754" t="s">
        <v>33</v>
      </c>
      <c r="C754">
        <v>2023</v>
      </c>
      <c r="D754" t="s">
        <v>74</v>
      </c>
      <c r="E754">
        <v>17</v>
      </c>
      <c r="F754">
        <v>5</v>
      </c>
      <c r="G754">
        <v>12</v>
      </c>
      <c r="H754">
        <v>10</v>
      </c>
      <c r="I754" t="s">
        <v>12</v>
      </c>
    </row>
    <row r="755" spans="1:9">
      <c r="A755" t="s">
        <v>34</v>
      </c>
      <c r="B755" t="s">
        <v>10</v>
      </c>
      <c r="C755">
        <v>2023</v>
      </c>
      <c r="D755" t="s">
        <v>74</v>
      </c>
      <c r="E755">
        <v>8</v>
      </c>
      <c r="F755">
        <v>6</v>
      </c>
      <c r="G755">
        <v>2</v>
      </c>
      <c r="H755">
        <v>8</v>
      </c>
      <c r="I755" t="s">
        <v>12</v>
      </c>
    </row>
    <row r="756" spans="1:9">
      <c r="A756" t="s">
        <v>35</v>
      </c>
      <c r="B756" t="s">
        <v>36</v>
      </c>
      <c r="C756">
        <v>2023</v>
      </c>
      <c r="D756" t="s">
        <v>74</v>
      </c>
      <c r="E756">
        <v>14</v>
      </c>
      <c r="F756">
        <v>9</v>
      </c>
      <c r="G756">
        <v>5</v>
      </c>
      <c r="H756">
        <v>2</v>
      </c>
      <c r="I756" t="s">
        <v>12</v>
      </c>
    </row>
    <row r="757" spans="1:9">
      <c r="A757" t="s">
        <v>37</v>
      </c>
      <c r="B757" t="s">
        <v>86</v>
      </c>
      <c r="C757">
        <v>2023</v>
      </c>
      <c r="D757" t="s">
        <v>74</v>
      </c>
      <c r="E757">
        <v>18</v>
      </c>
      <c r="F757">
        <v>12</v>
      </c>
      <c r="G757">
        <v>6</v>
      </c>
      <c r="H757">
        <v>0</v>
      </c>
      <c r="I757" t="s">
        <v>12</v>
      </c>
    </row>
    <row r="758" spans="1:9">
      <c r="A758" t="s">
        <v>39</v>
      </c>
      <c r="B758" t="s">
        <v>87</v>
      </c>
      <c r="C758">
        <v>2023</v>
      </c>
      <c r="D758" t="s">
        <v>74</v>
      </c>
      <c r="E758">
        <v>10</v>
      </c>
      <c r="F758">
        <v>14</v>
      </c>
      <c r="G758">
        <v>-4</v>
      </c>
      <c r="H758">
        <v>0</v>
      </c>
      <c r="I758" t="s">
        <v>12</v>
      </c>
    </row>
    <row r="759" spans="1:9">
      <c r="A759" t="s">
        <v>40</v>
      </c>
      <c r="B759" t="s">
        <v>33</v>
      </c>
      <c r="C759">
        <v>2023</v>
      </c>
      <c r="D759" t="s">
        <v>74</v>
      </c>
      <c r="E759">
        <v>7</v>
      </c>
      <c r="F759">
        <v>8</v>
      </c>
      <c r="G759">
        <v>-1</v>
      </c>
      <c r="H759">
        <v>4</v>
      </c>
      <c r="I759" t="s">
        <v>12</v>
      </c>
    </row>
    <row r="760" spans="1:9">
      <c r="A760" t="s">
        <v>52</v>
      </c>
      <c r="B760" t="s">
        <v>36</v>
      </c>
      <c r="C760">
        <v>2023</v>
      </c>
      <c r="D760" t="s">
        <v>74</v>
      </c>
      <c r="E760">
        <v>19</v>
      </c>
      <c r="F760">
        <v>16</v>
      </c>
      <c r="G760">
        <v>3</v>
      </c>
      <c r="H760">
        <v>0</v>
      </c>
      <c r="I760" t="s">
        <v>55</v>
      </c>
    </row>
    <row r="761" spans="1:9">
      <c r="A761" t="s">
        <v>9</v>
      </c>
      <c r="B761" t="s">
        <v>10</v>
      </c>
      <c r="C761">
        <v>2023</v>
      </c>
      <c r="D761" t="s">
        <v>75</v>
      </c>
      <c r="E761">
        <v>13</v>
      </c>
      <c r="F761">
        <v>6</v>
      </c>
      <c r="G761">
        <v>7</v>
      </c>
      <c r="H761">
        <v>8</v>
      </c>
      <c r="I761" t="s">
        <v>12</v>
      </c>
    </row>
    <row r="762" spans="1:9">
      <c r="A762" t="s">
        <v>13</v>
      </c>
      <c r="B762" t="s">
        <v>14</v>
      </c>
      <c r="C762">
        <v>2023</v>
      </c>
      <c r="D762" t="s">
        <v>75</v>
      </c>
      <c r="E762">
        <v>2</v>
      </c>
      <c r="F762">
        <v>3</v>
      </c>
      <c r="G762">
        <v>-1</v>
      </c>
      <c r="H762">
        <v>15</v>
      </c>
      <c r="I762" t="s">
        <v>12</v>
      </c>
    </row>
    <row r="763" spans="1:9">
      <c r="A763" t="s">
        <v>15</v>
      </c>
      <c r="B763" t="s">
        <v>16</v>
      </c>
      <c r="C763">
        <v>2023</v>
      </c>
      <c r="D763" t="s">
        <v>75</v>
      </c>
      <c r="E763">
        <v>12</v>
      </c>
      <c r="F763">
        <v>15</v>
      </c>
      <c r="G763">
        <v>-3</v>
      </c>
      <c r="H763">
        <v>0</v>
      </c>
      <c r="I763" t="s">
        <v>12</v>
      </c>
    </row>
    <row r="764" spans="1:9">
      <c r="A764" t="s">
        <v>17</v>
      </c>
      <c r="B764" t="s">
        <v>18</v>
      </c>
      <c r="C764">
        <v>2023</v>
      </c>
      <c r="D764" t="s">
        <v>75</v>
      </c>
      <c r="E764">
        <v>1</v>
      </c>
      <c r="F764">
        <v>2</v>
      </c>
      <c r="G764">
        <v>-1</v>
      </c>
      <c r="H764">
        <v>18</v>
      </c>
      <c r="I764" t="s">
        <v>12</v>
      </c>
    </row>
    <row r="765" spans="1:9">
      <c r="A765" t="s">
        <v>20</v>
      </c>
      <c r="B765" t="s">
        <v>87</v>
      </c>
      <c r="C765">
        <v>2023</v>
      </c>
      <c r="D765" t="s">
        <v>75</v>
      </c>
      <c r="E765">
        <v>10</v>
      </c>
      <c r="F765">
        <v>13</v>
      </c>
      <c r="G765">
        <v>-3</v>
      </c>
      <c r="H765">
        <v>0</v>
      </c>
      <c r="I765" t="s">
        <v>12</v>
      </c>
    </row>
    <row r="766" spans="1:9">
      <c r="A766" t="s">
        <v>23</v>
      </c>
      <c r="B766" t="s">
        <v>16</v>
      </c>
      <c r="C766">
        <v>2023</v>
      </c>
      <c r="D766" t="s">
        <v>75</v>
      </c>
      <c r="E766">
        <v>4</v>
      </c>
      <c r="F766">
        <v>10</v>
      </c>
      <c r="G766">
        <v>-6</v>
      </c>
      <c r="H766">
        <v>1</v>
      </c>
      <c r="I766" t="s">
        <v>12</v>
      </c>
    </row>
    <row r="767" spans="1:9">
      <c r="A767" t="s">
        <v>25</v>
      </c>
      <c r="B767" t="s">
        <v>18</v>
      </c>
      <c r="C767">
        <v>2023</v>
      </c>
      <c r="D767" t="s">
        <v>75</v>
      </c>
      <c r="E767">
        <v>9</v>
      </c>
      <c r="F767">
        <v>1</v>
      </c>
      <c r="G767">
        <v>8</v>
      </c>
      <c r="H767">
        <v>26</v>
      </c>
      <c r="I767" t="s">
        <v>12</v>
      </c>
    </row>
    <row r="768" spans="1:9">
      <c r="A768" t="s">
        <v>26</v>
      </c>
      <c r="B768" t="s">
        <v>27</v>
      </c>
      <c r="C768">
        <v>2023</v>
      </c>
      <c r="D768" t="s">
        <v>75</v>
      </c>
      <c r="E768">
        <v>3</v>
      </c>
      <c r="F768">
        <v>5</v>
      </c>
      <c r="G768">
        <v>-2</v>
      </c>
      <c r="H768">
        <v>10</v>
      </c>
      <c r="I768" t="s">
        <v>12</v>
      </c>
    </row>
    <row r="769" spans="1:9">
      <c r="A769" t="s">
        <v>48</v>
      </c>
      <c r="B769" t="s">
        <v>30</v>
      </c>
      <c r="C769">
        <v>2023</v>
      </c>
      <c r="D769" t="s">
        <v>75</v>
      </c>
      <c r="E769">
        <v>8</v>
      </c>
      <c r="F769">
        <v>9</v>
      </c>
      <c r="G769">
        <v>-1</v>
      </c>
      <c r="H769">
        <v>2</v>
      </c>
      <c r="I769" t="s">
        <v>12</v>
      </c>
    </row>
    <row r="770" spans="1:9">
      <c r="A770" t="s">
        <v>28</v>
      </c>
      <c r="B770" t="s">
        <v>14</v>
      </c>
      <c r="C770">
        <v>2023</v>
      </c>
      <c r="D770" t="s">
        <v>75</v>
      </c>
      <c r="E770">
        <v>18</v>
      </c>
      <c r="F770">
        <v>12</v>
      </c>
      <c r="G770">
        <v>6</v>
      </c>
      <c r="H770">
        <v>0</v>
      </c>
      <c r="I770" t="s">
        <v>12</v>
      </c>
    </row>
    <row r="771" spans="1:9">
      <c r="A771" t="s">
        <v>29</v>
      </c>
      <c r="B771" t="s">
        <v>30</v>
      </c>
      <c r="C771">
        <v>2023</v>
      </c>
      <c r="D771" t="s">
        <v>75</v>
      </c>
      <c r="E771">
        <v>5</v>
      </c>
      <c r="F771">
        <v>8</v>
      </c>
      <c r="G771">
        <v>-3</v>
      </c>
      <c r="H771">
        <v>4</v>
      </c>
      <c r="I771" t="s">
        <v>12</v>
      </c>
    </row>
    <row r="772" spans="1:9">
      <c r="A772" t="s">
        <v>31</v>
      </c>
      <c r="B772" t="s">
        <v>27</v>
      </c>
      <c r="C772">
        <v>2023</v>
      </c>
      <c r="D772" t="s">
        <v>75</v>
      </c>
      <c r="E772">
        <v>7</v>
      </c>
      <c r="F772">
        <v>7</v>
      </c>
      <c r="G772">
        <v>0</v>
      </c>
      <c r="H772">
        <v>6</v>
      </c>
      <c r="I772" t="s">
        <v>12</v>
      </c>
    </row>
    <row r="773" spans="1:9">
      <c r="A773" t="s">
        <v>32</v>
      </c>
      <c r="B773" t="s">
        <v>33</v>
      </c>
      <c r="C773">
        <v>2023</v>
      </c>
      <c r="D773" t="s">
        <v>75</v>
      </c>
      <c r="E773">
        <v>16</v>
      </c>
      <c r="F773">
        <v>17</v>
      </c>
      <c r="G773">
        <v>-1</v>
      </c>
      <c r="H773">
        <v>0</v>
      </c>
      <c r="I773" t="s">
        <v>12</v>
      </c>
    </row>
    <row r="774" spans="1:9">
      <c r="A774" t="s">
        <v>34</v>
      </c>
      <c r="B774" t="s">
        <v>10</v>
      </c>
      <c r="C774">
        <v>2023</v>
      </c>
      <c r="D774" t="s">
        <v>75</v>
      </c>
      <c r="E774">
        <v>6</v>
      </c>
      <c r="F774">
        <v>4</v>
      </c>
      <c r="G774">
        <v>2</v>
      </c>
      <c r="H774">
        <v>12</v>
      </c>
      <c r="I774" t="s">
        <v>12</v>
      </c>
    </row>
    <row r="775" spans="1:9">
      <c r="A775" t="s">
        <v>35</v>
      </c>
      <c r="B775" t="s">
        <v>36</v>
      </c>
      <c r="C775">
        <v>2023</v>
      </c>
      <c r="D775" t="s">
        <v>75</v>
      </c>
      <c r="E775">
        <v>11</v>
      </c>
      <c r="F775">
        <v>14</v>
      </c>
      <c r="G775">
        <v>-3</v>
      </c>
      <c r="H775">
        <v>0</v>
      </c>
      <c r="I775" t="s">
        <v>12</v>
      </c>
    </row>
    <row r="776" spans="1:9">
      <c r="A776" t="s">
        <v>37</v>
      </c>
      <c r="B776" t="s">
        <v>86</v>
      </c>
      <c r="C776">
        <v>2023</v>
      </c>
      <c r="D776" t="s">
        <v>75</v>
      </c>
      <c r="E776">
        <v>17</v>
      </c>
      <c r="F776">
        <v>11</v>
      </c>
      <c r="G776">
        <v>6</v>
      </c>
      <c r="H776">
        <v>0</v>
      </c>
      <c r="I776" t="s">
        <v>12</v>
      </c>
    </row>
    <row r="777" spans="1:9">
      <c r="A777" t="s">
        <v>39</v>
      </c>
      <c r="B777" t="s">
        <v>87</v>
      </c>
      <c r="C777">
        <v>2023</v>
      </c>
      <c r="D777" t="s">
        <v>75</v>
      </c>
      <c r="E777">
        <v>14</v>
      </c>
      <c r="F777">
        <v>16</v>
      </c>
      <c r="G777">
        <v>-2</v>
      </c>
      <c r="H777">
        <v>0</v>
      </c>
      <c r="I777" t="s">
        <v>12</v>
      </c>
    </row>
    <row r="778" spans="1:9">
      <c r="A778" t="s">
        <v>88</v>
      </c>
      <c r="B778" t="s">
        <v>86</v>
      </c>
      <c r="C778">
        <v>2023</v>
      </c>
      <c r="D778" t="s">
        <v>75</v>
      </c>
      <c r="E778">
        <v>15</v>
      </c>
      <c r="F778">
        <v>18</v>
      </c>
      <c r="G778">
        <v>-3</v>
      </c>
      <c r="H778">
        <v>0</v>
      </c>
      <c r="I778" t="s">
        <v>12</v>
      </c>
    </row>
    <row r="779" spans="1:9">
      <c r="A779" t="s">
        <v>40</v>
      </c>
      <c r="B779" t="s">
        <v>33</v>
      </c>
      <c r="C779">
        <v>2023</v>
      </c>
      <c r="D779" t="s">
        <v>75</v>
      </c>
      <c r="E779">
        <v>19</v>
      </c>
      <c r="F779">
        <v>19</v>
      </c>
      <c r="G779">
        <v>0</v>
      </c>
      <c r="H779">
        <v>0</v>
      </c>
      <c r="I779" t="s">
        <v>24</v>
      </c>
    </row>
    <row r="780" spans="1:9">
      <c r="A780" t="s">
        <v>52</v>
      </c>
      <c r="B780" t="s">
        <v>36</v>
      </c>
      <c r="C780">
        <v>2023</v>
      </c>
      <c r="D780" t="s">
        <v>75</v>
      </c>
      <c r="E780">
        <v>20</v>
      </c>
      <c r="F780">
        <v>20</v>
      </c>
      <c r="G780">
        <v>0</v>
      </c>
      <c r="H780">
        <v>0</v>
      </c>
      <c r="I780" t="s">
        <v>24</v>
      </c>
    </row>
    <row r="781" spans="1:9">
      <c r="A781" t="s">
        <v>9</v>
      </c>
      <c r="B781" t="s">
        <v>10</v>
      </c>
      <c r="C781">
        <v>2023</v>
      </c>
      <c r="D781" t="s">
        <v>76</v>
      </c>
      <c r="E781">
        <v>5</v>
      </c>
      <c r="F781">
        <v>4</v>
      </c>
      <c r="G781">
        <v>1</v>
      </c>
      <c r="H781">
        <v>13</v>
      </c>
      <c r="I781" t="s">
        <v>12</v>
      </c>
    </row>
    <row r="782" spans="1:9">
      <c r="A782" t="s">
        <v>13</v>
      </c>
      <c r="B782" t="s">
        <v>14</v>
      </c>
      <c r="C782">
        <v>2023</v>
      </c>
      <c r="D782" t="s">
        <v>76</v>
      </c>
      <c r="E782">
        <v>2</v>
      </c>
      <c r="F782">
        <v>2</v>
      </c>
      <c r="G782">
        <v>0</v>
      </c>
      <c r="H782">
        <v>18</v>
      </c>
      <c r="I782" t="s">
        <v>12</v>
      </c>
    </row>
    <row r="783" spans="1:9">
      <c r="A783" t="s">
        <v>15</v>
      </c>
      <c r="B783" t="s">
        <v>16</v>
      </c>
      <c r="C783">
        <v>2023</v>
      </c>
      <c r="D783" t="s">
        <v>76</v>
      </c>
      <c r="E783">
        <v>18</v>
      </c>
      <c r="F783">
        <v>17</v>
      </c>
      <c r="G783">
        <v>1</v>
      </c>
      <c r="H783">
        <v>0</v>
      </c>
      <c r="I783" t="s">
        <v>53</v>
      </c>
    </row>
    <row r="784" spans="1:9">
      <c r="A784" t="s">
        <v>17</v>
      </c>
      <c r="B784" t="s">
        <v>18</v>
      </c>
      <c r="C784">
        <v>2023</v>
      </c>
      <c r="D784" t="s">
        <v>76</v>
      </c>
      <c r="E784">
        <v>20</v>
      </c>
      <c r="F784">
        <v>16</v>
      </c>
      <c r="G784">
        <v>4</v>
      </c>
      <c r="H784">
        <v>0</v>
      </c>
      <c r="I784" t="s">
        <v>53</v>
      </c>
    </row>
    <row r="785" spans="1:9">
      <c r="A785" t="s">
        <v>20</v>
      </c>
      <c r="B785" t="s">
        <v>87</v>
      </c>
      <c r="C785">
        <v>2023</v>
      </c>
      <c r="D785" t="s">
        <v>76</v>
      </c>
      <c r="E785">
        <v>15</v>
      </c>
      <c r="F785">
        <v>11</v>
      </c>
      <c r="G785">
        <v>4</v>
      </c>
      <c r="H785">
        <v>0</v>
      </c>
      <c r="I785" t="s">
        <v>24</v>
      </c>
    </row>
    <row r="786" spans="1:9">
      <c r="A786" t="s">
        <v>23</v>
      </c>
      <c r="B786" t="s">
        <v>16</v>
      </c>
      <c r="C786">
        <v>2023</v>
      </c>
      <c r="D786" t="s">
        <v>76</v>
      </c>
      <c r="E786">
        <v>17</v>
      </c>
      <c r="F786">
        <v>19</v>
      </c>
      <c r="G786">
        <v>-2</v>
      </c>
      <c r="H786">
        <v>0</v>
      </c>
      <c r="I786" t="s">
        <v>22</v>
      </c>
    </row>
    <row r="787" spans="1:9">
      <c r="A787" t="s">
        <v>25</v>
      </c>
      <c r="B787" t="s">
        <v>18</v>
      </c>
      <c r="C787">
        <v>2023</v>
      </c>
      <c r="D787" t="s">
        <v>76</v>
      </c>
      <c r="E787">
        <v>1</v>
      </c>
      <c r="F787">
        <v>1</v>
      </c>
      <c r="G787">
        <v>0</v>
      </c>
      <c r="H787">
        <v>25</v>
      </c>
      <c r="I787" t="s">
        <v>12</v>
      </c>
    </row>
    <row r="788" spans="1:9">
      <c r="A788" t="s">
        <v>26</v>
      </c>
      <c r="B788" t="s">
        <v>27</v>
      </c>
      <c r="C788">
        <v>2023</v>
      </c>
      <c r="D788" t="s">
        <v>76</v>
      </c>
      <c r="E788">
        <v>4</v>
      </c>
      <c r="F788">
        <v>8</v>
      </c>
      <c r="G788">
        <v>-4</v>
      </c>
      <c r="H788">
        <v>4</v>
      </c>
      <c r="I788" t="s">
        <v>12</v>
      </c>
    </row>
    <row r="789" spans="1:9">
      <c r="A789" t="s">
        <v>48</v>
      </c>
      <c r="B789" t="s">
        <v>30</v>
      </c>
      <c r="C789">
        <v>2023</v>
      </c>
      <c r="D789" t="s">
        <v>76</v>
      </c>
      <c r="E789">
        <v>3</v>
      </c>
      <c r="F789">
        <v>3</v>
      </c>
      <c r="G789">
        <v>0</v>
      </c>
      <c r="H789">
        <v>15</v>
      </c>
      <c r="I789" t="s">
        <v>12</v>
      </c>
    </row>
    <row r="790" spans="1:9">
      <c r="A790" t="s">
        <v>28</v>
      </c>
      <c r="B790" t="s">
        <v>14</v>
      </c>
      <c r="C790">
        <v>2023</v>
      </c>
      <c r="D790" t="s">
        <v>76</v>
      </c>
      <c r="E790">
        <v>14</v>
      </c>
      <c r="F790">
        <v>20</v>
      </c>
      <c r="G790">
        <v>-6</v>
      </c>
      <c r="H790">
        <v>0</v>
      </c>
      <c r="I790" t="s">
        <v>49</v>
      </c>
    </row>
    <row r="791" spans="1:9">
      <c r="A791" t="s">
        <v>29</v>
      </c>
      <c r="B791" t="s">
        <v>30</v>
      </c>
      <c r="C791">
        <v>2023</v>
      </c>
      <c r="D791" t="s">
        <v>76</v>
      </c>
      <c r="E791">
        <v>7</v>
      </c>
      <c r="F791">
        <v>7</v>
      </c>
      <c r="G791">
        <v>0</v>
      </c>
      <c r="H791">
        <v>6</v>
      </c>
      <c r="I791" t="s">
        <v>12</v>
      </c>
    </row>
    <row r="792" spans="1:9">
      <c r="A792" t="s">
        <v>31</v>
      </c>
      <c r="B792" t="s">
        <v>27</v>
      </c>
      <c r="C792">
        <v>2023</v>
      </c>
      <c r="D792" t="s">
        <v>76</v>
      </c>
      <c r="E792">
        <v>6</v>
      </c>
      <c r="F792">
        <v>6</v>
      </c>
      <c r="G792">
        <v>0</v>
      </c>
      <c r="H792">
        <v>8</v>
      </c>
      <c r="I792" t="s">
        <v>12</v>
      </c>
    </row>
    <row r="793" spans="1:9">
      <c r="A793" t="s">
        <v>32</v>
      </c>
      <c r="B793" t="s">
        <v>33</v>
      </c>
      <c r="C793">
        <v>2023</v>
      </c>
      <c r="D793" t="s">
        <v>76</v>
      </c>
      <c r="E793">
        <v>10</v>
      </c>
      <c r="F793">
        <v>9</v>
      </c>
      <c r="G793">
        <v>1</v>
      </c>
      <c r="H793">
        <v>2</v>
      </c>
      <c r="I793" t="s">
        <v>24</v>
      </c>
    </row>
    <row r="794" spans="1:9">
      <c r="A794" t="s">
        <v>34</v>
      </c>
      <c r="B794" t="s">
        <v>10</v>
      </c>
      <c r="C794">
        <v>2023</v>
      </c>
      <c r="D794" t="s">
        <v>76</v>
      </c>
      <c r="E794">
        <v>8</v>
      </c>
      <c r="F794">
        <v>5</v>
      </c>
      <c r="G794">
        <v>3</v>
      </c>
      <c r="H794">
        <v>10</v>
      </c>
      <c r="I794" t="s">
        <v>12</v>
      </c>
    </row>
    <row r="795" spans="1:9">
      <c r="A795" t="s">
        <v>35</v>
      </c>
      <c r="B795" t="s">
        <v>36</v>
      </c>
      <c r="C795">
        <v>2023</v>
      </c>
      <c r="D795" t="s">
        <v>76</v>
      </c>
      <c r="E795">
        <v>13</v>
      </c>
      <c r="F795">
        <v>14</v>
      </c>
      <c r="G795">
        <v>-1</v>
      </c>
      <c r="H795">
        <v>0</v>
      </c>
      <c r="I795" t="s">
        <v>24</v>
      </c>
    </row>
    <row r="796" spans="1:9">
      <c r="A796" t="s">
        <v>37</v>
      </c>
      <c r="B796" t="s">
        <v>86</v>
      </c>
      <c r="C796">
        <v>2023</v>
      </c>
      <c r="D796" t="s">
        <v>76</v>
      </c>
      <c r="E796">
        <v>9</v>
      </c>
      <c r="F796">
        <v>15</v>
      </c>
      <c r="G796">
        <v>-6</v>
      </c>
      <c r="H796">
        <v>0</v>
      </c>
      <c r="I796" t="s">
        <v>53</v>
      </c>
    </row>
    <row r="797" spans="1:9">
      <c r="A797" t="s">
        <v>39</v>
      </c>
      <c r="B797" t="s">
        <v>87</v>
      </c>
      <c r="C797">
        <v>2023</v>
      </c>
      <c r="D797" t="s">
        <v>76</v>
      </c>
      <c r="E797">
        <v>19</v>
      </c>
      <c r="F797">
        <v>13</v>
      </c>
      <c r="G797">
        <v>6</v>
      </c>
      <c r="H797">
        <v>0</v>
      </c>
      <c r="I797" t="s">
        <v>24</v>
      </c>
    </row>
    <row r="798" spans="1:9">
      <c r="A798" t="s">
        <v>88</v>
      </c>
      <c r="B798" t="s">
        <v>86</v>
      </c>
      <c r="C798">
        <v>2023</v>
      </c>
      <c r="D798" t="s">
        <v>76</v>
      </c>
      <c r="E798">
        <v>12</v>
      </c>
      <c r="F798">
        <v>12</v>
      </c>
      <c r="G798">
        <v>0</v>
      </c>
      <c r="H798">
        <v>0</v>
      </c>
      <c r="I798" t="s">
        <v>24</v>
      </c>
    </row>
    <row r="799" spans="1:9">
      <c r="A799" t="s">
        <v>40</v>
      </c>
      <c r="B799" t="s">
        <v>33</v>
      </c>
      <c r="C799">
        <v>2023</v>
      </c>
      <c r="D799" t="s">
        <v>76</v>
      </c>
      <c r="E799">
        <v>11</v>
      </c>
      <c r="F799">
        <v>10</v>
      </c>
      <c r="G799">
        <v>1</v>
      </c>
      <c r="H799">
        <v>1</v>
      </c>
      <c r="I799" t="s">
        <v>24</v>
      </c>
    </row>
    <row r="800" spans="1:9">
      <c r="A800" t="s">
        <v>52</v>
      </c>
      <c r="B800" t="s">
        <v>36</v>
      </c>
      <c r="C800">
        <v>2023</v>
      </c>
      <c r="D800" t="s">
        <v>76</v>
      </c>
      <c r="E800">
        <v>16</v>
      </c>
      <c r="F800">
        <v>18</v>
      </c>
      <c r="G800">
        <v>-2</v>
      </c>
      <c r="H800">
        <v>0</v>
      </c>
      <c r="I800" t="s">
        <v>53</v>
      </c>
    </row>
    <row r="801" spans="1:9">
      <c r="A801" t="s">
        <v>9</v>
      </c>
      <c r="B801" t="s">
        <v>10</v>
      </c>
      <c r="C801">
        <v>2023</v>
      </c>
      <c r="D801" t="s">
        <v>77</v>
      </c>
      <c r="E801">
        <v>3</v>
      </c>
      <c r="F801">
        <v>19</v>
      </c>
      <c r="G801">
        <v>-16</v>
      </c>
      <c r="H801">
        <v>0</v>
      </c>
      <c r="I801" t="s">
        <v>19</v>
      </c>
    </row>
    <row r="802" spans="1:9">
      <c r="A802" t="s">
        <v>13</v>
      </c>
      <c r="B802" t="s">
        <v>14</v>
      </c>
      <c r="C802">
        <v>2023</v>
      </c>
      <c r="D802" t="s">
        <v>77</v>
      </c>
      <c r="E802">
        <v>4</v>
      </c>
      <c r="F802">
        <v>6</v>
      </c>
      <c r="G802">
        <v>-2</v>
      </c>
      <c r="H802">
        <v>8</v>
      </c>
      <c r="I802" t="s">
        <v>12</v>
      </c>
    </row>
    <row r="803" spans="1:9">
      <c r="A803" t="s">
        <v>15</v>
      </c>
      <c r="B803" t="s">
        <v>16</v>
      </c>
      <c r="C803">
        <v>2023</v>
      </c>
      <c r="D803" t="s">
        <v>77</v>
      </c>
      <c r="E803">
        <v>14</v>
      </c>
      <c r="F803">
        <v>16</v>
      </c>
      <c r="G803">
        <v>-2</v>
      </c>
      <c r="H803">
        <v>0</v>
      </c>
      <c r="I803" t="s">
        <v>24</v>
      </c>
    </row>
    <row r="804" spans="1:9">
      <c r="A804" t="s">
        <v>17</v>
      </c>
      <c r="B804" t="s">
        <v>18</v>
      </c>
      <c r="C804">
        <v>2023</v>
      </c>
      <c r="D804" t="s">
        <v>77</v>
      </c>
      <c r="E804">
        <v>0</v>
      </c>
      <c r="F804">
        <v>10</v>
      </c>
      <c r="G804">
        <v>-10</v>
      </c>
      <c r="H804">
        <v>1</v>
      </c>
      <c r="I804" t="s">
        <v>12</v>
      </c>
    </row>
    <row r="805" spans="1:9">
      <c r="A805" t="s">
        <v>20</v>
      </c>
      <c r="B805" t="s">
        <v>87</v>
      </c>
      <c r="C805">
        <v>2023</v>
      </c>
      <c r="D805" t="s">
        <v>77</v>
      </c>
      <c r="E805">
        <v>9</v>
      </c>
      <c r="F805">
        <v>8</v>
      </c>
      <c r="G805">
        <v>1</v>
      </c>
      <c r="H805">
        <v>4</v>
      </c>
      <c r="I805" t="s">
        <v>12</v>
      </c>
    </row>
    <row r="806" spans="1:9">
      <c r="A806" t="s">
        <v>23</v>
      </c>
      <c r="B806" t="s">
        <v>16</v>
      </c>
      <c r="C806">
        <v>2023</v>
      </c>
      <c r="D806" t="s">
        <v>77</v>
      </c>
      <c r="E806">
        <v>18</v>
      </c>
      <c r="F806">
        <v>14</v>
      </c>
      <c r="G806">
        <v>4</v>
      </c>
      <c r="H806">
        <v>0</v>
      </c>
      <c r="I806" t="s">
        <v>24</v>
      </c>
    </row>
    <row r="807" spans="1:9">
      <c r="A807" t="s">
        <v>25</v>
      </c>
      <c r="B807" t="s">
        <v>18</v>
      </c>
      <c r="C807">
        <v>2023</v>
      </c>
      <c r="D807" t="s">
        <v>77</v>
      </c>
      <c r="E807">
        <v>1</v>
      </c>
      <c r="F807">
        <v>1</v>
      </c>
      <c r="G807">
        <v>0</v>
      </c>
      <c r="H807">
        <v>26</v>
      </c>
      <c r="I807" t="s">
        <v>12</v>
      </c>
    </row>
    <row r="808" spans="1:9">
      <c r="A808" t="s">
        <v>26</v>
      </c>
      <c r="B808" t="s">
        <v>27</v>
      </c>
      <c r="C808">
        <v>2023</v>
      </c>
      <c r="D808" t="s">
        <v>77</v>
      </c>
      <c r="E808">
        <v>12</v>
      </c>
      <c r="F808">
        <v>20</v>
      </c>
      <c r="G808">
        <v>-8</v>
      </c>
      <c r="H808">
        <v>0</v>
      </c>
      <c r="I808" t="s">
        <v>96</v>
      </c>
    </row>
    <row r="809" spans="1:9">
      <c r="A809" t="s">
        <v>48</v>
      </c>
      <c r="B809" t="s">
        <v>30</v>
      </c>
      <c r="C809">
        <v>2023</v>
      </c>
      <c r="D809" t="s">
        <v>77</v>
      </c>
      <c r="E809">
        <v>8</v>
      </c>
      <c r="F809">
        <v>7</v>
      </c>
      <c r="G809">
        <v>1</v>
      </c>
      <c r="H809">
        <v>6</v>
      </c>
      <c r="I809" t="s">
        <v>12</v>
      </c>
    </row>
    <row r="810" spans="1:9">
      <c r="A810" t="s">
        <v>28</v>
      </c>
      <c r="B810" t="s">
        <v>14</v>
      </c>
      <c r="C810">
        <v>2023</v>
      </c>
      <c r="D810" t="s">
        <v>77</v>
      </c>
      <c r="E810">
        <v>16</v>
      </c>
      <c r="F810">
        <v>11</v>
      </c>
      <c r="G810">
        <v>5</v>
      </c>
      <c r="H810">
        <v>0</v>
      </c>
      <c r="I810" t="s">
        <v>12</v>
      </c>
    </row>
    <row r="811" spans="1:9">
      <c r="A811" t="s">
        <v>29</v>
      </c>
      <c r="B811" t="s">
        <v>30</v>
      </c>
      <c r="C811">
        <v>2023</v>
      </c>
      <c r="D811" t="s">
        <v>77</v>
      </c>
      <c r="E811">
        <v>7</v>
      </c>
      <c r="F811">
        <v>12</v>
      </c>
      <c r="G811">
        <v>-5</v>
      </c>
      <c r="H811">
        <v>0</v>
      </c>
      <c r="I811" t="s">
        <v>12</v>
      </c>
    </row>
    <row r="812" spans="1:9">
      <c r="A812" t="s">
        <v>31</v>
      </c>
      <c r="B812" t="s">
        <v>27</v>
      </c>
      <c r="C812">
        <v>2023</v>
      </c>
      <c r="D812" t="s">
        <v>77</v>
      </c>
      <c r="E812">
        <v>5</v>
      </c>
      <c r="F812">
        <v>5</v>
      </c>
      <c r="G812">
        <v>0</v>
      </c>
      <c r="H812">
        <v>10</v>
      </c>
      <c r="I812" t="s">
        <v>12</v>
      </c>
    </row>
    <row r="813" spans="1:9">
      <c r="A813" t="s">
        <v>32</v>
      </c>
      <c r="B813" t="s">
        <v>33</v>
      </c>
      <c r="C813">
        <v>2023</v>
      </c>
      <c r="D813" t="s">
        <v>77</v>
      </c>
      <c r="E813">
        <v>10</v>
      </c>
      <c r="F813">
        <v>3</v>
      </c>
      <c r="G813">
        <v>7</v>
      </c>
      <c r="H813">
        <v>15</v>
      </c>
      <c r="I813" t="s">
        <v>12</v>
      </c>
    </row>
    <row r="814" spans="1:9">
      <c r="A814" t="s">
        <v>34</v>
      </c>
      <c r="B814" t="s">
        <v>10</v>
      </c>
      <c r="C814">
        <v>2023</v>
      </c>
      <c r="D814" t="s">
        <v>77</v>
      </c>
      <c r="E814">
        <v>2</v>
      </c>
      <c r="F814">
        <v>4</v>
      </c>
      <c r="G814">
        <v>-2</v>
      </c>
      <c r="H814">
        <v>12</v>
      </c>
      <c r="I814" t="s">
        <v>12</v>
      </c>
    </row>
    <row r="815" spans="1:9">
      <c r="A815" t="s">
        <v>35</v>
      </c>
      <c r="B815" t="s">
        <v>36</v>
      </c>
      <c r="C815">
        <v>2023</v>
      </c>
      <c r="D815" t="s">
        <v>77</v>
      </c>
      <c r="E815">
        <v>13</v>
      </c>
      <c r="F815">
        <v>13</v>
      </c>
      <c r="G815">
        <v>0</v>
      </c>
      <c r="H815">
        <v>0</v>
      </c>
      <c r="I815" t="s">
        <v>12</v>
      </c>
    </row>
    <row r="816" spans="1:9">
      <c r="A816" t="s">
        <v>37</v>
      </c>
      <c r="B816" t="s">
        <v>86</v>
      </c>
      <c r="C816">
        <v>2023</v>
      </c>
      <c r="D816" t="s">
        <v>77</v>
      </c>
      <c r="E816">
        <v>11</v>
      </c>
      <c r="F816">
        <v>15</v>
      </c>
      <c r="G816">
        <v>-4</v>
      </c>
      <c r="H816">
        <v>0</v>
      </c>
      <c r="I816" t="s">
        <v>24</v>
      </c>
    </row>
    <row r="817" spans="1:9">
      <c r="A817" t="s">
        <v>39</v>
      </c>
      <c r="B817" t="s">
        <v>87</v>
      </c>
      <c r="C817">
        <v>2023</v>
      </c>
      <c r="D817" t="s">
        <v>77</v>
      </c>
      <c r="E817">
        <v>19</v>
      </c>
      <c r="F817">
        <v>9</v>
      </c>
      <c r="G817">
        <v>10</v>
      </c>
      <c r="H817">
        <v>2</v>
      </c>
      <c r="I817" t="s">
        <v>12</v>
      </c>
    </row>
    <row r="818" spans="1:9">
      <c r="A818" t="s">
        <v>40</v>
      </c>
      <c r="B818" t="s">
        <v>33</v>
      </c>
      <c r="C818">
        <v>2023</v>
      </c>
      <c r="D818" t="s">
        <v>77</v>
      </c>
      <c r="E818">
        <v>6</v>
      </c>
      <c r="F818">
        <v>2</v>
      </c>
      <c r="G818">
        <v>4</v>
      </c>
      <c r="H818">
        <v>18</v>
      </c>
      <c r="I818" t="s">
        <v>12</v>
      </c>
    </row>
    <row r="819" spans="1:9">
      <c r="A819" t="s">
        <v>52</v>
      </c>
      <c r="B819" t="s">
        <v>36</v>
      </c>
      <c r="C819">
        <v>2023</v>
      </c>
      <c r="D819" t="s">
        <v>77</v>
      </c>
      <c r="E819">
        <v>15</v>
      </c>
      <c r="F819">
        <v>18</v>
      </c>
      <c r="G819">
        <v>-3</v>
      </c>
      <c r="H819">
        <v>0</v>
      </c>
      <c r="I819" t="s">
        <v>97</v>
      </c>
    </row>
    <row r="820" spans="1:9">
      <c r="A820" t="s">
        <v>41</v>
      </c>
      <c r="B820" t="s">
        <v>86</v>
      </c>
      <c r="C820">
        <v>2023</v>
      </c>
      <c r="D820" t="s">
        <v>77</v>
      </c>
      <c r="E820">
        <v>17</v>
      </c>
      <c r="F820">
        <v>17</v>
      </c>
      <c r="G820">
        <v>0</v>
      </c>
      <c r="H820">
        <v>0</v>
      </c>
      <c r="I820" t="s">
        <v>24</v>
      </c>
    </row>
    <row r="821" spans="1:9">
      <c r="A821" t="s">
        <v>9</v>
      </c>
      <c r="B821" t="s">
        <v>10</v>
      </c>
      <c r="C821">
        <v>2023</v>
      </c>
      <c r="D821" t="s">
        <v>79</v>
      </c>
      <c r="E821">
        <v>7</v>
      </c>
      <c r="F821">
        <v>5</v>
      </c>
      <c r="G821">
        <v>2</v>
      </c>
      <c r="H821">
        <v>10</v>
      </c>
      <c r="I821" t="s">
        <v>12</v>
      </c>
    </row>
    <row r="822" spans="1:9">
      <c r="A822" t="s">
        <v>13</v>
      </c>
      <c r="B822" t="s">
        <v>14</v>
      </c>
      <c r="C822">
        <v>2023</v>
      </c>
      <c r="D822" t="s">
        <v>79</v>
      </c>
      <c r="E822">
        <v>2</v>
      </c>
      <c r="F822">
        <v>3</v>
      </c>
      <c r="G822">
        <v>-1</v>
      </c>
      <c r="H822">
        <v>15</v>
      </c>
      <c r="I822" t="s">
        <v>12</v>
      </c>
    </row>
    <row r="823" spans="1:9">
      <c r="A823" t="s">
        <v>15</v>
      </c>
      <c r="B823" t="s">
        <v>16</v>
      </c>
      <c r="C823">
        <v>2023</v>
      </c>
      <c r="D823" t="s">
        <v>79</v>
      </c>
      <c r="E823">
        <v>10</v>
      </c>
      <c r="F823">
        <v>12</v>
      </c>
      <c r="G823">
        <v>-2</v>
      </c>
      <c r="H823">
        <v>0</v>
      </c>
      <c r="I823" t="s">
        <v>12</v>
      </c>
    </row>
    <row r="824" spans="1:9">
      <c r="A824" t="s">
        <v>17</v>
      </c>
      <c r="B824" t="s">
        <v>18</v>
      </c>
      <c r="C824">
        <v>2023</v>
      </c>
      <c r="D824" t="s">
        <v>79</v>
      </c>
      <c r="E824">
        <v>1</v>
      </c>
      <c r="F824">
        <v>1</v>
      </c>
      <c r="G824">
        <v>0</v>
      </c>
      <c r="H824">
        <v>25</v>
      </c>
      <c r="I824" t="s">
        <v>12</v>
      </c>
    </row>
    <row r="825" spans="1:9">
      <c r="A825" t="s">
        <v>20</v>
      </c>
      <c r="B825" t="s">
        <v>87</v>
      </c>
      <c r="C825">
        <v>2023</v>
      </c>
      <c r="D825" t="s">
        <v>79</v>
      </c>
      <c r="E825">
        <v>14</v>
      </c>
      <c r="F825">
        <v>18</v>
      </c>
      <c r="G825">
        <v>-4</v>
      </c>
      <c r="H825">
        <v>0</v>
      </c>
      <c r="I825" t="s">
        <v>24</v>
      </c>
    </row>
    <row r="826" spans="1:9">
      <c r="A826" t="s">
        <v>23</v>
      </c>
      <c r="B826" t="s">
        <v>16</v>
      </c>
      <c r="C826">
        <v>2023</v>
      </c>
      <c r="D826" t="s">
        <v>79</v>
      </c>
      <c r="E826">
        <v>13</v>
      </c>
      <c r="F826">
        <v>10</v>
      </c>
      <c r="G826">
        <v>3</v>
      </c>
      <c r="H826">
        <v>1</v>
      </c>
      <c r="I826" t="s">
        <v>12</v>
      </c>
    </row>
    <row r="827" spans="1:9">
      <c r="A827" t="s">
        <v>25</v>
      </c>
      <c r="B827" t="s">
        <v>18</v>
      </c>
      <c r="C827">
        <v>2023</v>
      </c>
      <c r="D827" t="s">
        <v>79</v>
      </c>
      <c r="E827">
        <v>15</v>
      </c>
      <c r="F827">
        <v>2</v>
      </c>
      <c r="G827">
        <v>13</v>
      </c>
      <c r="H827">
        <v>19</v>
      </c>
      <c r="I827" t="s">
        <v>12</v>
      </c>
    </row>
    <row r="828" spans="1:9">
      <c r="A828" t="s">
        <v>26</v>
      </c>
      <c r="B828" t="s">
        <v>27</v>
      </c>
      <c r="C828">
        <v>2023</v>
      </c>
      <c r="D828" t="s">
        <v>79</v>
      </c>
      <c r="E828">
        <v>4</v>
      </c>
      <c r="F828">
        <v>6</v>
      </c>
      <c r="G828">
        <v>-2</v>
      </c>
      <c r="H828">
        <v>8</v>
      </c>
      <c r="I828" t="s">
        <v>12</v>
      </c>
    </row>
    <row r="829" spans="1:9">
      <c r="A829" t="s">
        <v>48</v>
      </c>
      <c r="B829" t="s">
        <v>30</v>
      </c>
      <c r="C829">
        <v>2023</v>
      </c>
      <c r="D829" t="s">
        <v>79</v>
      </c>
      <c r="E829">
        <v>6</v>
      </c>
      <c r="F829">
        <v>8</v>
      </c>
      <c r="G829">
        <v>-2</v>
      </c>
      <c r="H829">
        <v>4</v>
      </c>
      <c r="I829" t="s">
        <v>12</v>
      </c>
    </row>
    <row r="830" spans="1:9">
      <c r="A830" t="s">
        <v>28</v>
      </c>
      <c r="B830" t="s">
        <v>14</v>
      </c>
      <c r="C830">
        <v>2023</v>
      </c>
      <c r="D830" t="s">
        <v>79</v>
      </c>
      <c r="E830">
        <v>5</v>
      </c>
      <c r="F830">
        <v>20</v>
      </c>
      <c r="G830">
        <v>-15</v>
      </c>
      <c r="H830">
        <v>0</v>
      </c>
      <c r="I830" t="s">
        <v>42</v>
      </c>
    </row>
    <row r="831" spans="1:9">
      <c r="A831" t="s">
        <v>29</v>
      </c>
      <c r="B831" t="s">
        <v>30</v>
      </c>
      <c r="C831">
        <v>2023</v>
      </c>
      <c r="D831" t="s">
        <v>79</v>
      </c>
      <c r="E831">
        <v>9</v>
      </c>
      <c r="F831">
        <v>9</v>
      </c>
      <c r="G831">
        <v>0</v>
      </c>
      <c r="H831">
        <v>2</v>
      </c>
      <c r="I831" t="s">
        <v>12</v>
      </c>
    </row>
    <row r="832" spans="1:9">
      <c r="A832" t="s">
        <v>31</v>
      </c>
      <c r="B832" t="s">
        <v>27</v>
      </c>
      <c r="C832">
        <v>2023</v>
      </c>
      <c r="D832" t="s">
        <v>79</v>
      </c>
      <c r="E832">
        <v>12</v>
      </c>
      <c r="F832">
        <v>7</v>
      </c>
      <c r="G832">
        <v>5</v>
      </c>
      <c r="H832">
        <v>6</v>
      </c>
      <c r="I832" t="s">
        <v>12</v>
      </c>
    </row>
    <row r="833" spans="1:9">
      <c r="A833" t="s">
        <v>32</v>
      </c>
      <c r="B833" t="s">
        <v>33</v>
      </c>
      <c r="C833">
        <v>2023</v>
      </c>
      <c r="D833" t="s">
        <v>79</v>
      </c>
      <c r="E833">
        <v>19</v>
      </c>
      <c r="F833">
        <v>17</v>
      </c>
      <c r="G833">
        <v>2</v>
      </c>
      <c r="H833">
        <v>0</v>
      </c>
      <c r="I833" t="s">
        <v>12</v>
      </c>
    </row>
    <row r="834" spans="1:9">
      <c r="A834" t="s">
        <v>34</v>
      </c>
      <c r="B834" t="s">
        <v>10</v>
      </c>
      <c r="C834">
        <v>2023</v>
      </c>
      <c r="D834" t="s">
        <v>79</v>
      </c>
      <c r="E834">
        <v>3</v>
      </c>
      <c r="F834">
        <v>4</v>
      </c>
      <c r="G834">
        <v>-1</v>
      </c>
      <c r="H834">
        <v>12</v>
      </c>
      <c r="I834" t="s">
        <v>12</v>
      </c>
    </row>
    <row r="835" spans="1:9">
      <c r="A835" t="s">
        <v>35</v>
      </c>
      <c r="B835" t="s">
        <v>36</v>
      </c>
      <c r="C835">
        <v>2023</v>
      </c>
      <c r="D835" t="s">
        <v>79</v>
      </c>
      <c r="E835">
        <v>17</v>
      </c>
      <c r="F835">
        <v>19</v>
      </c>
      <c r="G835">
        <v>-2</v>
      </c>
      <c r="H835">
        <v>0</v>
      </c>
      <c r="I835" t="s">
        <v>47</v>
      </c>
    </row>
    <row r="836" spans="1:9">
      <c r="A836" t="s">
        <v>37</v>
      </c>
      <c r="B836" t="s">
        <v>86</v>
      </c>
      <c r="C836">
        <v>2023</v>
      </c>
      <c r="D836" t="s">
        <v>79</v>
      </c>
      <c r="E836">
        <v>16</v>
      </c>
      <c r="F836">
        <v>11</v>
      </c>
      <c r="G836">
        <v>5</v>
      </c>
      <c r="H836">
        <v>0</v>
      </c>
      <c r="I836" t="s">
        <v>12</v>
      </c>
    </row>
    <row r="837" spans="1:9">
      <c r="A837" t="s">
        <v>39</v>
      </c>
      <c r="B837" t="s">
        <v>87</v>
      </c>
      <c r="C837">
        <v>2023</v>
      </c>
      <c r="D837" t="s">
        <v>79</v>
      </c>
      <c r="E837">
        <v>11</v>
      </c>
      <c r="F837">
        <v>13</v>
      </c>
      <c r="G837">
        <v>-2</v>
      </c>
      <c r="H837">
        <v>0</v>
      </c>
      <c r="I837" t="s">
        <v>12</v>
      </c>
    </row>
    <row r="838" spans="1:9">
      <c r="A838" t="s">
        <v>88</v>
      </c>
      <c r="B838" t="s">
        <v>86</v>
      </c>
      <c r="C838">
        <v>2023</v>
      </c>
      <c r="D838" t="s">
        <v>79</v>
      </c>
      <c r="E838">
        <v>18</v>
      </c>
      <c r="F838">
        <v>14</v>
      </c>
      <c r="G838">
        <v>4</v>
      </c>
      <c r="H838">
        <v>0</v>
      </c>
      <c r="I838" t="s">
        <v>12</v>
      </c>
    </row>
    <row r="839" spans="1:9">
      <c r="A839" t="s">
        <v>40</v>
      </c>
      <c r="B839" t="s">
        <v>33</v>
      </c>
      <c r="C839">
        <v>2023</v>
      </c>
      <c r="D839" t="s">
        <v>79</v>
      </c>
      <c r="E839">
        <v>8</v>
      </c>
      <c r="F839">
        <v>15</v>
      </c>
      <c r="G839">
        <v>-7</v>
      </c>
      <c r="H839">
        <v>0</v>
      </c>
      <c r="I839" t="s">
        <v>12</v>
      </c>
    </row>
    <row r="840" spans="1:9">
      <c r="A840" t="s">
        <v>52</v>
      </c>
      <c r="B840" t="s">
        <v>36</v>
      </c>
      <c r="C840">
        <v>2023</v>
      </c>
      <c r="D840" t="s">
        <v>79</v>
      </c>
      <c r="E840">
        <v>20</v>
      </c>
      <c r="F840">
        <v>16</v>
      </c>
      <c r="G840">
        <v>4</v>
      </c>
      <c r="H840">
        <v>0</v>
      </c>
      <c r="I840" t="s">
        <v>12</v>
      </c>
    </row>
    <row r="841" spans="1:9">
      <c r="A841" t="s">
        <v>9</v>
      </c>
      <c r="B841" t="s">
        <v>10</v>
      </c>
      <c r="C841">
        <v>2023</v>
      </c>
      <c r="D841" t="s">
        <v>80</v>
      </c>
      <c r="E841">
        <v>5</v>
      </c>
      <c r="F841">
        <v>3</v>
      </c>
      <c r="G841">
        <v>2</v>
      </c>
      <c r="H841">
        <v>16</v>
      </c>
      <c r="I841" t="s">
        <v>12</v>
      </c>
    </row>
    <row r="842" spans="1:9">
      <c r="A842" t="s">
        <v>13</v>
      </c>
      <c r="B842" t="s">
        <v>14</v>
      </c>
      <c r="C842">
        <v>2023</v>
      </c>
      <c r="D842" t="s">
        <v>80</v>
      </c>
      <c r="E842">
        <v>7</v>
      </c>
      <c r="F842">
        <v>15</v>
      </c>
      <c r="G842">
        <v>-8</v>
      </c>
      <c r="H842">
        <v>0</v>
      </c>
      <c r="I842" t="s">
        <v>12</v>
      </c>
    </row>
    <row r="843" spans="1:9">
      <c r="A843" t="s">
        <v>15</v>
      </c>
      <c r="B843" t="s">
        <v>16</v>
      </c>
      <c r="C843">
        <v>2023</v>
      </c>
      <c r="D843" t="s">
        <v>80</v>
      </c>
      <c r="E843">
        <v>9</v>
      </c>
      <c r="F843">
        <v>13</v>
      </c>
      <c r="G843">
        <v>-4</v>
      </c>
      <c r="H843">
        <v>0</v>
      </c>
      <c r="I843" t="s">
        <v>12</v>
      </c>
    </row>
    <row r="844" spans="1:9">
      <c r="A844" t="s">
        <v>17</v>
      </c>
      <c r="B844" t="s">
        <v>18</v>
      </c>
      <c r="C844">
        <v>2023</v>
      </c>
      <c r="D844" t="s">
        <v>80</v>
      </c>
      <c r="E844">
        <v>13</v>
      </c>
      <c r="F844">
        <v>8</v>
      </c>
      <c r="G844">
        <v>5</v>
      </c>
      <c r="H844">
        <v>4</v>
      </c>
      <c r="I844" t="s">
        <v>12</v>
      </c>
    </row>
    <row r="845" spans="1:9">
      <c r="A845" t="s">
        <v>20</v>
      </c>
      <c r="B845" t="s">
        <v>87</v>
      </c>
      <c r="C845">
        <v>2023</v>
      </c>
      <c r="D845" t="s">
        <v>80</v>
      </c>
      <c r="E845">
        <v>16</v>
      </c>
      <c r="F845">
        <v>17</v>
      </c>
      <c r="G845">
        <v>-1</v>
      </c>
      <c r="H845">
        <v>0</v>
      </c>
      <c r="I845" t="s">
        <v>98</v>
      </c>
    </row>
    <row r="846" spans="1:9">
      <c r="A846" t="s">
        <v>23</v>
      </c>
      <c r="B846" t="s">
        <v>16</v>
      </c>
      <c r="C846">
        <v>2023</v>
      </c>
      <c r="D846" t="s">
        <v>80</v>
      </c>
      <c r="E846">
        <v>6</v>
      </c>
      <c r="F846">
        <v>10</v>
      </c>
      <c r="G846">
        <v>-4</v>
      </c>
      <c r="H846">
        <v>1</v>
      </c>
      <c r="I846" t="s">
        <v>12</v>
      </c>
    </row>
    <row r="847" spans="1:9">
      <c r="A847" t="s">
        <v>25</v>
      </c>
      <c r="B847" t="s">
        <v>18</v>
      </c>
      <c r="C847">
        <v>2023</v>
      </c>
      <c r="D847" t="s">
        <v>80</v>
      </c>
      <c r="E847">
        <v>11</v>
      </c>
      <c r="F847">
        <v>5</v>
      </c>
      <c r="G847">
        <v>6</v>
      </c>
      <c r="H847">
        <v>10</v>
      </c>
      <c r="I847" t="s">
        <v>12</v>
      </c>
    </row>
    <row r="848" spans="1:9">
      <c r="A848" t="s">
        <v>26</v>
      </c>
      <c r="B848" t="s">
        <v>27</v>
      </c>
      <c r="C848">
        <v>2023</v>
      </c>
      <c r="D848" t="s">
        <v>80</v>
      </c>
      <c r="E848">
        <v>1</v>
      </c>
      <c r="F848">
        <v>1</v>
      </c>
      <c r="G848">
        <v>0</v>
      </c>
      <c r="H848">
        <v>25</v>
      </c>
      <c r="I848" t="s">
        <v>12</v>
      </c>
    </row>
    <row r="849" spans="1:9">
      <c r="A849" t="s">
        <v>48</v>
      </c>
      <c r="B849" t="s">
        <v>30</v>
      </c>
      <c r="C849">
        <v>2023</v>
      </c>
      <c r="D849" t="s">
        <v>80</v>
      </c>
      <c r="E849">
        <v>8</v>
      </c>
      <c r="F849">
        <v>18</v>
      </c>
      <c r="G849">
        <v>-10</v>
      </c>
      <c r="H849">
        <v>0</v>
      </c>
      <c r="I849" t="s">
        <v>61</v>
      </c>
    </row>
    <row r="850" spans="1:9">
      <c r="A850" t="s">
        <v>28</v>
      </c>
      <c r="B850" t="s">
        <v>14</v>
      </c>
      <c r="C850">
        <v>2023</v>
      </c>
      <c r="D850" t="s">
        <v>80</v>
      </c>
      <c r="E850">
        <v>0</v>
      </c>
      <c r="F850">
        <v>20</v>
      </c>
      <c r="G850">
        <v>-20</v>
      </c>
      <c r="H850">
        <v>0</v>
      </c>
      <c r="I850" t="s">
        <v>84</v>
      </c>
    </row>
    <row r="851" spans="1:9">
      <c r="A851" t="s">
        <v>29</v>
      </c>
      <c r="B851" t="s">
        <v>30</v>
      </c>
      <c r="C851">
        <v>2023</v>
      </c>
      <c r="D851" t="s">
        <v>80</v>
      </c>
      <c r="E851">
        <v>12</v>
      </c>
      <c r="F851">
        <v>6</v>
      </c>
      <c r="G851">
        <v>6</v>
      </c>
      <c r="H851">
        <v>8</v>
      </c>
      <c r="I851" t="s">
        <v>12</v>
      </c>
    </row>
    <row r="852" spans="1:9">
      <c r="A852" t="s">
        <v>31</v>
      </c>
      <c r="B852" t="s">
        <v>27</v>
      </c>
      <c r="C852">
        <v>2023</v>
      </c>
      <c r="D852" t="s">
        <v>80</v>
      </c>
      <c r="E852">
        <v>3</v>
      </c>
      <c r="F852">
        <v>4</v>
      </c>
      <c r="G852">
        <v>-1</v>
      </c>
      <c r="H852">
        <v>12</v>
      </c>
      <c r="I852" t="s">
        <v>12</v>
      </c>
    </row>
    <row r="853" spans="1:9">
      <c r="A853" t="s">
        <v>32</v>
      </c>
      <c r="B853" t="s">
        <v>33</v>
      </c>
      <c r="C853">
        <v>2023</v>
      </c>
      <c r="D853" t="s">
        <v>80</v>
      </c>
      <c r="E853">
        <v>4</v>
      </c>
      <c r="F853">
        <v>2</v>
      </c>
      <c r="G853">
        <v>2</v>
      </c>
      <c r="H853">
        <v>18</v>
      </c>
      <c r="I853" t="s">
        <v>12</v>
      </c>
    </row>
    <row r="854" spans="1:9">
      <c r="A854" t="s">
        <v>34</v>
      </c>
      <c r="B854" t="s">
        <v>10</v>
      </c>
      <c r="C854">
        <v>2023</v>
      </c>
      <c r="D854" t="s">
        <v>80</v>
      </c>
      <c r="E854">
        <v>2</v>
      </c>
      <c r="F854">
        <v>16</v>
      </c>
      <c r="G854">
        <v>-14</v>
      </c>
      <c r="H854">
        <v>0</v>
      </c>
      <c r="I854" t="s">
        <v>49</v>
      </c>
    </row>
    <row r="855" spans="1:9">
      <c r="A855" t="s">
        <v>35</v>
      </c>
      <c r="B855" t="s">
        <v>36</v>
      </c>
      <c r="C855">
        <v>2023</v>
      </c>
      <c r="D855" t="s">
        <v>80</v>
      </c>
      <c r="E855">
        <v>14</v>
      </c>
      <c r="F855">
        <v>11</v>
      </c>
      <c r="G855">
        <v>3</v>
      </c>
      <c r="H855">
        <v>0</v>
      </c>
      <c r="I855" t="s">
        <v>12</v>
      </c>
    </row>
    <row r="856" spans="1:9">
      <c r="A856" t="s">
        <v>37</v>
      </c>
      <c r="B856" t="s">
        <v>86</v>
      </c>
      <c r="C856">
        <v>2023</v>
      </c>
      <c r="D856" t="s">
        <v>80</v>
      </c>
      <c r="E856">
        <v>15</v>
      </c>
      <c r="F856">
        <v>19</v>
      </c>
      <c r="G856">
        <v>-4</v>
      </c>
      <c r="H856">
        <v>0</v>
      </c>
      <c r="I856" t="s">
        <v>19</v>
      </c>
    </row>
    <row r="857" spans="1:9">
      <c r="A857" t="s">
        <v>39</v>
      </c>
      <c r="B857" t="s">
        <v>87</v>
      </c>
      <c r="C857">
        <v>2023</v>
      </c>
      <c r="D857" t="s">
        <v>80</v>
      </c>
      <c r="E857">
        <v>0</v>
      </c>
      <c r="F857">
        <v>12</v>
      </c>
      <c r="G857">
        <v>-12</v>
      </c>
      <c r="H857">
        <v>0</v>
      </c>
      <c r="I857" t="s">
        <v>12</v>
      </c>
    </row>
    <row r="858" spans="1:9">
      <c r="A858" t="s">
        <v>40</v>
      </c>
      <c r="B858" t="s">
        <v>33</v>
      </c>
      <c r="C858">
        <v>2023</v>
      </c>
      <c r="D858" t="s">
        <v>80</v>
      </c>
      <c r="E858">
        <v>17</v>
      </c>
      <c r="F858">
        <v>7</v>
      </c>
      <c r="G858">
        <v>10</v>
      </c>
      <c r="H858">
        <v>6</v>
      </c>
      <c r="I858" t="s">
        <v>12</v>
      </c>
    </row>
    <row r="859" spans="1:9">
      <c r="A859" t="s">
        <v>52</v>
      </c>
      <c r="B859" t="s">
        <v>36</v>
      </c>
      <c r="C859">
        <v>2023</v>
      </c>
      <c r="D859" t="s">
        <v>80</v>
      </c>
      <c r="E859">
        <v>18</v>
      </c>
      <c r="F859">
        <v>14</v>
      </c>
      <c r="G859">
        <v>4</v>
      </c>
      <c r="H859">
        <v>0</v>
      </c>
      <c r="I859" t="s">
        <v>12</v>
      </c>
    </row>
    <row r="860" spans="1:9">
      <c r="A860" t="s">
        <v>41</v>
      </c>
      <c r="B860" t="s">
        <v>86</v>
      </c>
      <c r="C860">
        <v>2023</v>
      </c>
      <c r="D860" t="s">
        <v>80</v>
      </c>
      <c r="E860">
        <v>10</v>
      </c>
      <c r="F860">
        <v>9</v>
      </c>
      <c r="G860">
        <v>1</v>
      </c>
      <c r="H860">
        <v>2</v>
      </c>
      <c r="I860" t="s">
        <v>12</v>
      </c>
    </row>
    <row r="861" spans="1:9">
      <c r="A861" t="s">
        <v>9</v>
      </c>
      <c r="B861" t="s">
        <v>10</v>
      </c>
      <c r="C861">
        <v>2023</v>
      </c>
      <c r="D861" t="s">
        <v>82</v>
      </c>
      <c r="E861">
        <v>4</v>
      </c>
      <c r="F861">
        <v>2</v>
      </c>
      <c r="G861">
        <v>2</v>
      </c>
      <c r="H861">
        <v>18</v>
      </c>
      <c r="I861" t="s">
        <v>12</v>
      </c>
    </row>
    <row r="862" spans="1:9">
      <c r="A862" t="s">
        <v>13</v>
      </c>
      <c r="B862" t="s">
        <v>14</v>
      </c>
      <c r="C862">
        <v>2023</v>
      </c>
      <c r="D862" t="s">
        <v>82</v>
      </c>
      <c r="E862">
        <v>8</v>
      </c>
      <c r="F862">
        <v>7</v>
      </c>
      <c r="G862">
        <v>1</v>
      </c>
      <c r="H862">
        <v>6</v>
      </c>
      <c r="I862" t="s">
        <v>12</v>
      </c>
    </row>
    <row r="863" spans="1:9">
      <c r="A863" t="s">
        <v>15</v>
      </c>
      <c r="B863" t="s">
        <v>16</v>
      </c>
      <c r="C863">
        <v>2023</v>
      </c>
      <c r="D863" t="s">
        <v>82</v>
      </c>
      <c r="E863">
        <v>7</v>
      </c>
      <c r="F863">
        <v>15</v>
      </c>
      <c r="G863">
        <v>-8</v>
      </c>
      <c r="H863">
        <v>0</v>
      </c>
      <c r="I863" t="s">
        <v>24</v>
      </c>
    </row>
    <row r="864" spans="1:9">
      <c r="A864" t="s">
        <v>17</v>
      </c>
      <c r="B864" t="s">
        <v>18</v>
      </c>
      <c r="C864">
        <v>2023</v>
      </c>
      <c r="D864" t="s">
        <v>82</v>
      </c>
      <c r="E864">
        <v>11</v>
      </c>
      <c r="F864">
        <v>4</v>
      </c>
      <c r="G864">
        <v>7</v>
      </c>
      <c r="H864">
        <v>12</v>
      </c>
      <c r="I864" t="s">
        <v>12</v>
      </c>
    </row>
    <row r="865" spans="1:9">
      <c r="A865" t="s">
        <v>20</v>
      </c>
      <c r="B865" t="s">
        <v>87</v>
      </c>
      <c r="C865">
        <v>2023</v>
      </c>
      <c r="D865" t="s">
        <v>82</v>
      </c>
      <c r="E865">
        <v>16</v>
      </c>
      <c r="F865">
        <v>19</v>
      </c>
      <c r="G865">
        <v>-3</v>
      </c>
      <c r="H865">
        <v>0</v>
      </c>
      <c r="I865" t="s">
        <v>24</v>
      </c>
    </row>
    <row r="866" spans="1:9">
      <c r="A866" t="s">
        <v>23</v>
      </c>
      <c r="B866" t="s">
        <v>16</v>
      </c>
      <c r="C866">
        <v>2023</v>
      </c>
      <c r="D866" t="s">
        <v>82</v>
      </c>
      <c r="E866">
        <v>17</v>
      </c>
      <c r="F866">
        <v>18</v>
      </c>
      <c r="G866">
        <v>-1</v>
      </c>
      <c r="H866">
        <v>0</v>
      </c>
      <c r="I866" t="s">
        <v>24</v>
      </c>
    </row>
    <row r="867" spans="1:9">
      <c r="A867" t="s">
        <v>25</v>
      </c>
      <c r="B867" t="s">
        <v>18</v>
      </c>
      <c r="C867">
        <v>2023</v>
      </c>
      <c r="D867" t="s">
        <v>82</v>
      </c>
      <c r="E867">
        <v>1</v>
      </c>
      <c r="F867">
        <v>1</v>
      </c>
      <c r="G867">
        <v>0</v>
      </c>
      <c r="H867">
        <v>26</v>
      </c>
      <c r="I867" t="s">
        <v>12</v>
      </c>
    </row>
    <row r="868" spans="1:9">
      <c r="A868" t="s">
        <v>26</v>
      </c>
      <c r="B868" t="s">
        <v>27</v>
      </c>
      <c r="C868">
        <v>2023</v>
      </c>
      <c r="D868" t="s">
        <v>82</v>
      </c>
      <c r="E868">
        <v>2</v>
      </c>
      <c r="F868">
        <v>5</v>
      </c>
      <c r="G868">
        <v>-3</v>
      </c>
      <c r="H868">
        <v>10</v>
      </c>
      <c r="I868" t="s">
        <v>12</v>
      </c>
    </row>
    <row r="869" spans="1:9">
      <c r="A869" t="s">
        <v>48</v>
      </c>
      <c r="B869" t="s">
        <v>30</v>
      </c>
      <c r="C869">
        <v>2023</v>
      </c>
      <c r="D869" t="s">
        <v>82</v>
      </c>
      <c r="E869">
        <v>6</v>
      </c>
      <c r="F869">
        <v>8</v>
      </c>
      <c r="G869">
        <v>-2</v>
      </c>
      <c r="H869">
        <v>4</v>
      </c>
      <c r="I869" t="s">
        <v>12</v>
      </c>
    </row>
    <row r="870" spans="1:9">
      <c r="A870" t="s">
        <v>28</v>
      </c>
      <c r="B870" t="s">
        <v>14</v>
      </c>
      <c r="C870">
        <v>2023</v>
      </c>
      <c r="D870" t="s">
        <v>82</v>
      </c>
      <c r="E870">
        <v>5</v>
      </c>
      <c r="F870">
        <v>6</v>
      </c>
      <c r="G870">
        <v>-1</v>
      </c>
      <c r="H870">
        <v>8</v>
      </c>
      <c r="I870" t="s">
        <v>12</v>
      </c>
    </row>
    <row r="871" spans="1:9">
      <c r="A871" t="s">
        <v>29</v>
      </c>
      <c r="B871" t="s">
        <v>30</v>
      </c>
      <c r="C871">
        <v>2023</v>
      </c>
      <c r="D871" t="s">
        <v>82</v>
      </c>
      <c r="E871">
        <v>10</v>
      </c>
      <c r="F871">
        <v>10</v>
      </c>
      <c r="G871">
        <v>0</v>
      </c>
      <c r="H871">
        <v>1</v>
      </c>
      <c r="I871" t="s">
        <v>12</v>
      </c>
    </row>
    <row r="872" spans="1:9">
      <c r="A872" t="s">
        <v>31</v>
      </c>
      <c r="B872" t="s">
        <v>27</v>
      </c>
      <c r="C872">
        <v>2023</v>
      </c>
      <c r="D872" t="s">
        <v>82</v>
      </c>
      <c r="E872">
        <v>19</v>
      </c>
      <c r="F872">
        <v>11</v>
      </c>
      <c r="G872">
        <v>8</v>
      </c>
      <c r="H872">
        <v>0</v>
      </c>
      <c r="I872" t="s">
        <v>12</v>
      </c>
    </row>
    <row r="873" spans="1:9">
      <c r="A873" t="s">
        <v>32</v>
      </c>
      <c r="B873" t="s">
        <v>33</v>
      </c>
      <c r="C873">
        <v>2023</v>
      </c>
      <c r="D873" t="s">
        <v>82</v>
      </c>
      <c r="E873">
        <v>3</v>
      </c>
      <c r="F873">
        <v>17</v>
      </c>
      <c r="G873">
        <v>-14</v>
      </c>
      <c r="H873">
        <v>0</v>
      </c>
      <c r="I873" t="s">
        <v>24</v>
      </c>
    </row>
    <row r="874" spans="1:9">
      <c r="A874" t="s">
        <v>34</v>
      </c>
      <c r="B874" t="s">
        <v>10</v>
      </c>
      <c r="C874">
        <v>2023</v>
      </c>
      <c r="D874" t="s">
        <v>82</v>
      </c>
      <c r="E874">
        <v>12</v>
      </c>
      <c r="F874">
        <v>3</v>
      </c>
      <c r="G874">
        <v>9</v>
      </c>
      <c r="H874">
        <v>15</v>
      </c>
      <c r="I874" t="s">
        <v>12</v>
      </c>
    </row>
    <row r="875" spans="1:9">
      <c r="A875" t="s">
        <v>35</v>
      </c>
      <c r="B875" t="s">
        <v>36</v>
      </c>
      <c r="C875">
        <v>2023</v>
      </c>
      <c r="D875" t="s">
        <v>82</v>
      </c>
      <c r="E875">
        <v>18</v>
      </c>
      <c r="F875">
        <v>16</v>
      </c>
      <c r="G875">
        <v>2</v>
      </c>
      <c r="H875">
        <v>0</v>
      </c>
      <c r="I875" t="s">
        <v>24</v>
      </c>
    </row>
    <row r="876" spans="1:9">
      <c r="A876" t="s">
        <v>37</v>
      </c>
      <c r="B876" t="s">
        <v>86</v>
      </c>
      <c r="C876">
        <v>2023</v>
      </c>
      <c r="D876" t="s">
        <v>82</v>
      </c>
      <c r="E876">
        <v>15</v>
      </c>
      <c r="F876">
        <v>12</v>
      </c>
      <c r="G876">
        <v>3</v>
      </c>
      <c r="H876">
        <v>0</v>
      </c>
      <c r="I876" t="s">
        <v>12</v>
      </c>
    </row>
    <row r="877" spans="1:9">
      <c r="A877" t="s">
        <v>39</v>
      </c>
      <c r="B877" t="s">
        <v>87</v>
      </c>
      <c r="C877">
        <v>2023</v>
      </c>
      <c r="D877" t="s">
        <v>82</v>
      </c>
      <c r="E877">
        <v>13</v>
      </c>
      <c r="F877">
        <v>9</v>
      </c>
      <c r="G877">
        <v>4</v>
      </c>
      <c r="H877">
        <v>2</v>
      </c>
      <c r="I877" t="s">
        <v>12</v>
      </c>
    </row>
    <row r="878" spans="1:9">
      <c r="A878" t="s">
        <v>88</v>
      </c>
      <c r="B878" t="s">
        <v>86</v>
      </c>
      <c r="C878">
        <v>2023</v>
      </c>
      <c r="D878" t="s">
        <v>82</v>
      </c>
      <c r="E878">
        <v>14</v>
      </c>
      <c r="F878">
        <v>14</v>
      </c>
      <c r="G878">
        <v>0</v>
      </c>
      <c r="H878">
        <v>0</v>
      </c>
      <c r="I878" t="s">
        <v>24</v>
      </c>
    </row>
    <row r="879" spans="1:9">
      <c r="A879" t="s">
        <v>40</v>
      </c>
      <c r="B879" t="s">
        <v>33</v>
      </c>
      <c r="C879">
        <v>2023</v>
      </c>
      <c r="D879" t="s">
        <v>82</v>
      </c>
      <c r="E879">
        <v>9</v>
      </c>
      <c r="F879">
        <v>13</v>
      </c>
      <c r="G879">
        <v>-4</v>
      </c>
      <c r="H879">
        <v>0</v>
      </c>
      <c r="I879" t="s">
        <v>24</v>
      </c>
    </row>
    <row r="880" spans="1:9">
      <c r="A880" t="s">
        <v>52</v>
      </c>
      <c r="B880" t="s">
        <v>36</v>
      </c>
      <c r="C880">
        <v>2023</v>
      </c>
      <c r="D880" t="s">
        <v>82</v>
      </c>
      <c r="E880">
        <v>20</v>
      </c>
      <c r="F880">
        <v>20</v>
      </c>
      <c r="G880">
        <v>0</v>
      </c>
      <c r="H880">
        <v>0</v>
      </c>
      <c r="I880" t="s">
        <v>24</v>
      </c>
    </row>
    <row r="881" spans="1:9">
      <c r="A881" t="s">
        <v>9</v>
      </c>
      <c r="B881" t="s">
        <v>10</v>
      </c>
      <c r="C881">
        <v>2023</v>
      </c>
      <c r="D881" t="s">
        <v>83</v>
      </c>
      <c r="E881">
        <v>5</v>
      </c>
      <c r="F881">
        <v>8</v>
      </c>
      <c r="G881">
        <v>-3</v>
      </c>
      <c r="H881">
        <v>4</v>
      </c>
      <c r="I881" t="s">
        <v>12</v>
      </c>
    </row>
    <row r="882" spans="1:9">
      <c r="A882" t="s">
        <v>13</v>
      </c>
      <c r="B882" t="s">
        <v>14</v>
      </c>
      <c r="C882">
        <v>2023</v>
      </c>
      <c r="D882" t="s">
        <v>83</v>
      </c>
      <c r="E882">
        <v>4</v>
      </c>
      <c r="F882">
        <v>3</v>
      </c>
      <c r="G882">
        <v>1</v>
      </c>
      <c r="H882">
        <v>15</v>
      </c>
      <c r="I882" t="s">
        <v>12</v>
      </c>
    </row>
    <row r="883" spans="1:9">
      <c r="A883" t="s">
        <v>15</v>
      </c>
      <c r="B883" t="s">
        <v>16</v>
      </c>
      <c r="C883">
        <v>2023</v>
      </c>
      <c r="D883" t="s">
        <v>83</v>
      </c>
      <c r="E883">
        <v>11</v>
      </c>
      <c r="F883">
        <v>12</v>
      </c>
      <c r="G883">
        <v>-1</v>
      </c>
      <c r="H883">
        <v>0</v>
      </c>
      <c r="I883" t="s">
        <v>24</v>
      </c>
    </row>
    <row r="884" spans="1:9">
      <c r="A884" t="s">
        <v>17</v>
      </c>
      <c r="B884" t="s">
        <v>18</v>
      </c>
      <c r="C884">
        <v>2023</v>
      </c>
      <c r="D884" t="s">
        <v>83</v>
      </c>
      <c r="E884">
        <v>9</v>
      </c>
      <c r="F884">
        <v>4</v>
      </c>
      <c r="G884">
        <v>5</v>
      </c>
      <c r="H884">
        <v>12</v>
      </c>
      <c r="I884" t="s">
        <v>12</v>
      </c>
    </row>
    <row r="885" spans="1:9">
      <c r="A885" t="s">
        <v>46</v>
      </c>
      <c r="B885" t="s">
        <v>86</v>
      </c>
      <c r="C885">
        <v>2023</v>
      </c>
      <c r="D885" t="s">
        <v>83</v>
      </c>
      <c r="E885">
        <v>17</v>
      </c>
      <c r="F885">
        <v>13</v>
      </c>
      <c r="G885">
        <v>4</v>
      </c>
      <c r="H885">
        <v>0</v>
      </c>
      <c r="I885" t="s">
        <v>24</v>
      </c>
    </row>
    <row r="886" spans="1:9">
      <c r="A886" t="s">
        <v>20</v>
      </c>
      <c r="B886" t="s">
        <v>87</v>
      </c>
      <c r="C886">
        <v>2023</v>
      </c>
      <c r="D886" t="s">
        <v>83</v>
      </c>
      <c r="E886">
        <v>18</v>
      </c>
      <c r="F886">
        <v>16</v>
      </c>
      <c r="G886">
        <v>2</v>
      </c>
      <c r="H886">
        <v>0</v>
      </c>
      <c r="I886" t="s">
        <v>42</v>
      </c>
    </row>
    <row r="887" spans="1:9">
      <c r="A887" t="s">
        <v>23</v>
      </c>
      <c r="B887" t="s">
        <v>16</v>
      </c>
      <c r="C887">
        <v>2023</v>
      </c>
      <c r="D887" t="s">
        <v>83</v>
      </c>
      <c r="E887">
        <v>12</v>
      </c>
      <c r="F887">
        <v>18</v>
      </c>
      <c r="G887">
        <v>-6</v>
      </c>
      <c r="H887">
        <v>0</v>
      </c>
      <c r="I887" t="s">
        <v>19</v>
      </c>
    </row>
    <row r="888" spans="1:9">
      <c r="A888" t="s">
        <v>25</v>
      </c>
      <c r="B888" t="s">
        <v>18</v>
      </c>
      <c r="C888">
        <v>2023</v>
      </c>
      <c r="D888" t="s">
        <v>83</v>
      </c>
      <c r="E888">
        <v>1</v>
      </c>
      <c r="F888">
        <v>1</v>
      </c>
      <c r="G888">
        <v>0</v>
      </c>
      <c r="H888">
        <v>25</v>
      </c>
      <c r="I888" t="s">
        <v>12</v>
      </c>
    </row>
    <row r="889" spans="1:9">
      <c r="A889" t="s">
        <v>26</v>
      </c>
      <c r="B889" t="s">
        <v>27</v>
      </c>
      <c r="C889">
        <v>2023</v>
      </c>
      <c r="D889" t="s">
        <v>83</v>
      </c>
      <c r="E889">
        <v>7</v>
      </c>
      <c r="F889">
        <v>6</v>
      </c>
      <c r="G889">
        <v>1</v>
      </c>
      <c r="H889">
        <v>8</v>
      </c>
      <c r="I889" t="s">
        <v>12</v>
      </c>
    </row>
    <row r="890" spans="1:9">
      <c r="A890" t="s">
        <v>48</v>
      </c>
      <c r="B890" t="s">
        <v>30</v>
      </c>
      <c r="C890">
        <v>2023</v>
      </c>
      <c r="D890" t="s">
        <v>83</v>
      </c>
      <c r="E890">
        <v>14</v>
      </c>
      <c r="F890">
        <v>10</v>
      </c>
      <c r="G890">
        <v>4</v>
      </c>
      <c r="H890">
        <v>1</v>
      </c>
      <c r="I890" t="s">
        <v>24</v>
      </c>
    </row>
    <row r="891" spans="1:9">
      <c r="A891" t="s">
        <v>28</v>
      </c>
      <c r="B891" t="s">
        <v>14</v>
      </c>
      <c r="C891">
        <v>2023</v>
      </c>
      <c r="D891" t="s">
        <v>83</v>
      </c>
      <c r="E891">
        <v>3</v>
      </c>
      <c r="F891">
        <v>5</v>
      </c>
      <c r="G891">
        <v>-2</v>
      </c>
      <c r="H891">
        <v>10</v>
      </c>
      <c r="I891" t="s">
        <v>12</v>
      </c>
    </row>
    <row r="892" spans="1:9">
      <c r="A892" t="s">
        <v>29</v>
      </c>
      <c r="B892" t="s">
        <v>30</v>
      </c>
      <c r="C892">
        <v>2023</v>
      </c>
      <c r="D892" t="s">
        <v>83</v>
      </c>
      <c r="E892">
        <v>15</v>
      </c>
      <c r="F892">
        <v>7</v>
      </c>
      <c r="G892">
        <v>8</v>
      </c>
      <c r="H892">
        <v>6</v>
      </c>
      <c r="I892" t="s">
        <v>12</v>
      </c>
    </row>
    <row r="893" spans="1:9">
      <c r="A893" t="s">
        <v>31</v>
      </c>
      <c r="B893" t="s">
        <v>27</v>
      </c>
      <c r="C893">
        <v>2023</v>
      </c>
      <c r="D893" t="s">
        <v>83</v>
      </c>
      <c r="E893">
        <v>0</v>
      </c>
      <c r="F893">
        <v>20</v>
      </c>
      <c r="G893">
        <v>-20</v>
      </c>
      <c r="H893">
        <v>0</v>
      </c>
      <c r="I893" t="s">
        <v>42</v>
      </c>
    </row>
    <row r="894" spans="1:9">
      <c r="A894" t="s">
        <v>32</v>
      </c>
      <c r="B894" t="s">
        <v>33</v>
      </c>
      <c r="C894">
        <v>2023</v>
      </c>
      <c r="D894" t="s">
        <v>83</v>
      </c>
      <c r="E894">
        <v>6</v>
      </c>
      <c r="F894">
        <v>2</v>
      </c>
      <c r="G894">
        <v>4</v>
      </c>
      <c r="H894">
        <v>19</v>
      </c>
      <c r="I894" t="s">
        <v>12</v>
      </c>
    </row>
    <row r="895" spans="1:9">
      <c r="A895" t="s">
        <v>34</v>
      </c>
      <c r="B895" t="s">
        <v>10</v>
      </c>
      <c r="C895">
        <v>2023</v>
      </c>
      <c r="D895" t="s">
        <v>83</v>
      </c>
      <c r="E895">
        <v>8</v>
      </c>
      <c r="F895">
        <v>15</v>
      </c>
      <c r="G895">
        <v>-7</v>
      </c>
      <c r="H895">
        <v>0</v>
      </c>
      <c r="I895" t="s">
        <v>70</v>
      </c>
    </row>
    <row r="896" spans="1:9">
      <c r="A896" t="s">
        <v>35</v>
      </c>
      <c r="B896" t="s">
        <v>36</v>
      </c>
      <c r="C896">
        <v>2023</v>
      </c>
      <c r="D896" t="s">
        <v>83</v>
      </c>
      <c r="E896">
        <v>13</v>
      </c>
      <c r="F896">
        <v>19</v>
      </c>
      <c r="G896">
        <v>-6</v>
      </c>
      <c r="H896">
        <v>0</v>
      </c>
      <c r="I896" t="s">
        <v>19</v>
      </c>
    </row>
    <row r="897" spans="1:9">
      <c r="A897" t="s">
        <v>37</v>
      </c>
      <c r="B897" t="s">
        <v>86</v>
      </c>
      <c r="C897">
        <v>2023</v>
      </c>
      <c r="D897" t="s">
        <v>83</v>
      </c>
      <c r="E897">
        <v>16</v>
      </c>
      <c r="F897">
        <v>9</v>
      </c>
      <c r="G897">
        <v>7</v>
      </c>
      <c r="H897">
        <v>2</v>
      </c>
      <c r="I897" t="s">
        <v>12</v>
      </c>
    </row>
    <row r="898" spans="1:9">
      <c r="A898" t="s">
        <v>39</v>
      </c>
      <c r="B898" t="s">
        <v>87</v>
      </c>
      <c r="C898">
        <v>2023</v>
      </c>
      <c r="D898" t="s">
        <v>83</v>
      </c>
      <c r="E898">
        <v>20</v>
      </c>
      <c r="F898">
        <v>17</v>
      </c>
      <c r="G898">
        <v>3</v>
      </c>
      <c r="H898">
        <v>0</v>
      </c>
      <c r="I898" t="s">
        <v>42</v>
      </c>
    </row>
    <row r="899" spans="1:9">
      <c r="A899" t="s">
        <v>40</v>
      </c>
      <c r="B899" t="s">
        <v>33</v>
      </c>
      <c r="C899">
        <v>2023</v>
      </c>
      <c r="D899" t="s">
        <v>83</v>
      </c>
      <c r="E899">
        <v>10</v>
      </c>
      <c r="F899">
        <v>14</v>
      </c>
      <c r="G899">
        <v>-4</v>
      </c>
      <c r="H899">
        <v>0</v>
      </c>
      <c r="I899" t="s">
        <v>53</v>
      </c>
    </row>
    <row r="900" spans="1:9">
      <c r="A900" t="s">
        <v>52</v>
      </c>
      <c r="B900" t="s">
        <v>36</v>
      </c>
      <c r="C900">
        <v>2023</v>
      </c>
      <c r="D900" t="s">
        <v>83</v>
      </c>
      <c r="E900">
        <v>19</v>
      </c>
      <c r="F900">
        <v>11</v>
      </c>
      <c r="G900">
        <v>8</v>
      </c>
      <c r="H900">
        <v>0</v>
      </c>
      <c r="I900" t="s">
        <v>24</v>
      </c>
    </row>
    <row r="901" spans="1:9">
      <c r="A901" t="s">
        <v>9</v>
      </c>
      <c r="B901" t="s">
        <v>10</v>
      </c>
      <c r="C901">
        <v>2023</v>
      </c>
      <c r="D901" t="s">
        <v>85</v>
      </c>
      <c r="E901">
        <v>3</v>
      </c>
      <c r="F901">
        <v>19</v>
      </c>
      <c r="G901">
        <v>-16</v>
      </c>
      <c r="H901">
        <v>0</v>
      </c>
      <c r="I901" t="s">
        <v>59</v>
      </c>
    </row>
    <row r="902" spans="1:9">
      <c r="A902" t="s">
        <v>13</v>
      </c>
      <c r="B902" t="s">
        <v>14</v>
      </c>
      <c r="C902">
        <v>2023</v>
      </c>
      <c r="D902" t="s">
        <v>85</v>
      </c>
      <c r="E902">
        <v>0</v>
      </c>
      <c r="F902">
        <v>16</v>
      </c>
      <c r="G902">
        <v>-16</v>
      </c>
      <c r="H902">
        <v>0</v>
      </c>
      <c r="I902" t="s">
        <v>93</v>
      </c>
    </row>
    <row r="903" spans="1:9">
      <c r="A903" t="s">
        <v>15</v>
      </c>
      <c r="B903" t="s">
        <v>16</v>
      </c>
      <c r="C903">
        <v>2023</v>
      </c>
      <c r="D903" t="s">
        <v>85</v>
      </c>
      <c r="E903">
        <v>0</v>
      </c>
      <c r="F903">
        <v>11</v>
      </c>
      <c r="G903">
        <v>-11</v>
      </c>
      <c r="H903">
        <v>0</v>
      </c>
      <c r="I903" t="s">
        <v>12</v>
      </c>
    </row>
    <row r="904" spans="1:9">
      <c r="A904" t="s">
        <v>17</v>
      </c>
      <c r="B904" t="s">
        <v>18</v>
      </c>
      <c r="C904">
        <v>2023</v>
      </c>
      <c r="D904" t="s">
        <v>85</v>
      </c>
      <c r="E904">
        <v>9</v>
      </c>
      <c r="F904">
        <v>4</v>
      </c>
      <c r="G904">
        <v>5</v>
      </c>
      <c r="H904">
        <v>12</v>
      </c>
      <c r="I904" t="s">
        <v>12</v>
      </c>
    </row>
    <row r="905" spans="1:9">
      <c r="A905" t="s">
        <v>46</v>
      </c>
      <c r="B905" t="s">
        <v>86</v>
      </c>
      <c r="C905">
        <v>2023</v>
      </c>
      <c r="D905" t="s">
        <v>85</v>
      </c>
      <c r="E905">
        <v>14</v>
      </c>
      <c r="F905">
        <v>15</v>
      </c>
      <c r="G905">
        <v>-1</v>
      </c>
      <c r="H905">
        <v>0</v>
      </c>
      <c r="I905" t="s">
        <v>24</v>
      </c>
    </row>
    <row r="906" spans="1:9">
      <c r="A906" t="s">
        <v>20</v>
      </c>
      <c r="B906" t="s">
        <v>87</v>
      </c>
      <c r="C906">
        <v>2023</v>
      </c>
      <c r="D906" t="s">
        <v>85</v>
      </c>
      <c r="E906">
        <v>13</v>
      </c>
      <c r="F906">
        <v>12</v>
      </c>
      <c r="G906">
        <v>1</v>
      </c>
      <c r="H906">
        <v>0</v>
      </c>
      <c r="I906" t="s">
        <v>12</v>
      </c>
    </row>
    <row r="907" spans="1:9">
      <c r="A907" t="s">
        <v>23</v>
      </c>
      <c r="B907" t="s">
        <v>16</v>
      </c>
      <c r="C907">
        <v>2023</v>
      </c>
      <c r="D907" t="s">
        <v>85</v>
      </c>
      <c r="E907">
        <v>0</v>
      </c>
      <c r="F907">
        <v>14</v>
      </c>
      <c r="G907">
        <v>-14</v>
      </c>
      <c r="H907">
        <v>0</v>
      </c>
      <c r="I907" t="s">
        <v>24</v>
      </c>
    </row>
    <row r="908" spans="1:9">
      <c r="A908" t="s">
        <v>25</v>
      </c>
      <c r="B908" t="s">
        <v>18</v>
      </c>
      <c r="C908">
        <v>2023</v>
      </c>
      <c r="D908" t="s">
        <v>85</v>
      </c>
      <c r="E908">
        <v>6</v>
      </c>
      <c r="F908">
        <v>1</v>
      </c>
      <c r="G908">
        <v>5</v>
      </c>
      <c r="H908">
        <v>25</v>
      </c>
      <c r="I908" t="s">
        <v>12</v>
      </c>
    </row>
    <row r="909" spans="1:9">
      <c r="A909" t="s">
        <v>26</v>
      </c>
      <c r="B909" t="s">
        <v>27</v>
      </c>
      <c r="C909">
        <v>2023</v>
      </c>
      <c r="D909" t="s">
        <v>85</v>
      </c>
      <c r="E909">
        <v>4</v>
      </c>
      <c r="F909">
        <v>3</v>
      </c>
      <c r="G909">
        <v>1</v>
      </c>
      <c r="H909">
        <v>15</v>
      </c>
      <c r="I909" t="s">
        <v>12</v>
      </c>
    </row>
    <row r="910" spans="1:9">
      <c r="A910" t="s">
        <v>48</v>
      </c>
      <c r="B910" t="s">
        <v>30</v>
      </c>
      <c r="C910">
        <v>2023</v>
      </c>
      <c r="D910" t="s">
        <v>85</v>
      </c>
      <c r="E910">
        <v>8</v>
      </c>
      <c r="F910">
        <v>18</v>
      </c>
      <c r="G910">
        <v>-10</v>
      </c>
      <c r="H910">
        <v>0</v>
      </c>
      <c r="I910" t="s">
        <v>22</v>
      </c>
    </row>
    <row r="911" spans="1:9">
      <c r="A911" t="s">
        <v>28</v>
      </c>
      <c r="B911" t="s">
        <v>14</v>
      </c>
      <c r="C911">
        <v>2023</v>
      </c>
      <c r="D911" t="s">
        <v>85</v>
      </c>
      <c r="E911">
        <v>0</v>
      </c>
      <c r="F911">
        <v>7</v>
      </c>
      <c r="G911">
        <v>-7</v>
      </c>
      <c r="H911">
        <v>6</v>
      </c>
      <c r="I911" t="s">
        <v>12</v>
      </c>
    </row>
    <row r="912" spans="1:9">
      <c r="A912" t="s">
        <v>29</v>
      </c>
      <c r="B912" t="s">
        <v>30</v>
      </c>
      <c r="C912">
        <v>2023</v>
      </c>
      <c r="D912" t="s">
        <v>85</v>
      </c>
      <c r="E912">
        <v>7</v>
      </c>
      <c r="F912">
        <v>6</v>
      </c>
      <c r="G912">
        <v>1</v>
      </c>
      <c r="H912">
        <v>8</v>
      </c>
      <c r="I912" t="s">
        <v>12</v>
      </c>
    </row>
    <row r="913" spans="1:9">
      <c r="A913" t="s">
        <v>31</v>
      </c>
      <c r="B913" t="s">
        <v>27</v>
      </c>
      <c r="C913">
        <v>2023</v>
      </c>
      <c r="D913" t="s">
        <v>85</v>
      </c>
      <c r="E913">
        <v>1</v>
      </c>
      <c r="F913">
        <v>20</v>
      </c>
      <c r="G913">
        <v>-19</v>
      </c>
      <c r="H913">
        <v>0</v>
      </c>
      <c r="I913" t="s">
        <v>59</v>
      </c>
    </row>
    <row r="914" spans="1:9">
      <c r="A914" t="s">
        <v>32</v>
      </c>
      <c r="B914" t="s">
        <v>33</v>
      </c>
      <c r="C914">
        <v>2023</v>
      </c>
      <c r="D914" t="s">
        <v>85</v>
      </c>
      <c r="E914">
        <v>2</v>
      </c>
      <c r="F914">
        <v>2</v>
      </c>
      <c r="G914">
        <v>0</v>
      </c>
      <c r="H914">
        <v>18</v>
      </c>
      <c r="I914" t="s">
        <v>12</v>
      </c>
    </row>
    <row r="915" spans="1:9">
      <c r="A915" t="s">
        <v>34</v>
      </c>
      <c r="B915" t="s">
        <v>10</v>
      </c>
      <c r="C915">
        <v>2023</v>
      </c>
      <c r="D915" t="s">
        <v>85</v>
      </c>
      <c r="E915">
        <v>5</v>
      </c>
      <c r="F915">
        <v>5</v>
      </c>
      <c r="G915">
        <v>0</v>
      </c>
      <c r="H915">
        <v>10</v>
      </c>
      <c r="I915" t="s">
        <v>12</v>
      </c>
    </row>
    <row r="916" spans="1:9">
      <c r="A916" t="s">
        <v>35</v>
      </c>
      <c r="B916" t="s">
        <v>36</v>
      </c>
      <c r="C916">
        <v>2023</v>
      </c>
      <c r="D916" t="s">
        <v>85</v>
      </c>
      <c r="E916">
        <v>15</v>
      </c>
      <c r="F916">
        <v>9</v>
      </c>
      <c r="G916">
        <v>6</v>
      </c>
      <c r="H916">
        <v>2</v>
      </c>
      <c r="I916" t="s">
        <v>12</v>
      </c>
    </row>
    <row r="917" spans="1:9">
      <c r="A917" t="s">
        <v>37</v>
      </c>
      <c r="B917" t="s">
        <v>86</v>
      </c>
      <c r="C917">
        <v>2023</v>
      </c>
      <c r="D917" t="s">
        <v>85</v>
      </c>
      <c r="E917">
        <v>11</v>
      </c>
      <c r="F917">
        <v>8</v>
      </c>
      <c r="G917">
        <v>3</v>
      </c>
      <c r="H917">
        <v>5</v>
      </c>
      <c r="I917" t="s">
        <v>12</v>
      </c>
    </row>
    <row r="918" spans="1:9">
      <c r="A918" t="s">
        <v>39</v>
      </c>
      <c r="B918" t="s">
        <v>87</v>
      </c>
      <c r="C918">
        <v>2023</v>
      </c>
      <c r="D918" t="s">
        <v>85</v>
      </c>
      <c r="E918">
        <v>12</v>
      </c>
      <c r="F918">
        <v>13</v>
      </c>
      <c r="G918">
        <v>-1</v>
      </c>
      <c r="H918">
        <v>0</v>
      </c>
      <c r="I918" t="s">
        <v>24</v>
      </c>
    </row>
    <row r="919" spans="1:9">
      <c r="A919" t="s">
        <v>40</v>
      </c>
      <c r="B919" t="s">
        <v>33</v>
      </c>
      <c r="C919">
        <v>2023</v>
      </c>
      <c r="D919" t="s">
        <v>85</v>
      </c>
      <c r="E919">
        <v>10</v>
      </c>
      <c r="F919">
        <v>17</v>
      </c>
      <c r="G919">
        <v>-7</v>
      </c>
      <c r="H919">
        <v>0</v>
      </c>
      <c r="I919" t="s">
        <v>73</v>
      </c>
    </row>
    <row r="920" spans="1:9">
      <c r="A920" t="s">
        <v>52</v>
      </c>
      <c r="B920" t="s">
        <v>36</v>
      </c>
      <c r="C920">
        <v>2023</v>
      </c>
      <c r="D920" t="s">
        <v>85</v>
      </c>
      <c r="E920">
        <v>16</v>
      </c>
      <c r="F920">
        <v>10</v>
      </c>
      <c r="G920">
        <v>6</v>
      </c>
      <c r="H920">
        <v>1</v>
      </c>
      <c r="I920" t="s">
        <v>12</v>
      </c>
    </row>
    <row r="921" spans="1:9">
      <c r="A921" t="s">
        <v>9</v>
      </c>
      <c r="B921" t="s">
        <v>10</v>
      </c>
      <c r="C921">
        <v>2022</v>
      </c>
      <c r="D921" t="s">
        <v>11</v>
      </c>
      <c r="E921">
        <v>5</v>
      </c>
      <c r="F921">
        <v>18</v>
      </c>
      <c r="G921">
        <v>-13</v>
      </c>
      <c r="H921">
        <v>0</v>
      </c>
      <c r="I921" t="s">
        <v>68</v>
      </c>
    </row>
    <row r="922" spans="1:9">
      <c r="A922" t="s">
        <v>13</v>
      </c>
      <c r="B922" t="s">
        <v>30</v>
      </c>
      <c r="C922">
        <v>2022</v>
      </c>
      <c r="D922" t="s">
        <v>11</v>
      </c>
      <c r="E922">
        <v>10</v>
      </c>
      <c r="F922">
        <v>20</v>
      </c>
      <c r="G922">
        <v>-10</v>
      </c>
      <c r="H922">
        <v>0</v>
      </c>
      <c r="I922" t="s">
        <v>99</v>
      </c>
    </row>
    <row r="923" spans="1:9">
      <c r="A923" t="s">
        <v>100</v>
      </c>
      <c r="B923" t="s">
        <v>14</v>
      </c>
      <c r="C923">
        <v>2022</v>
      </c>
      <c r="D923" t="s">
        <v>11</v>
      </c>
      <c r="E923">
        <v>9</v>
      </c>
      <c r="F923">
        <v>10</v>
      </c>
      <c r="G923">
        <v>-1</v>
      </c>
      <c r="H923">
        <v>1</v>
      </c>
      <c r="I923" t="s">
        <v>12</v>
      </c>
    </row>
    <row r="924" spans="1:9">
      <c r="A924" t="s">
        <v>17</v>
      </c>
      <c r="B924" t="s">
        <v>18</v>
      </c>
      <c r="C924">
        <v>2022</v>
      </c>
      <c r="D924" t="s">
        <v>11</v>
      </c>
      <c r="E924">
        <v>2</v>
      </c>
      <c r="F924">
        <v>3</v>
      </c>
      <c r="G924">
        <v>-1</v>
      </c>
      <c r="H924">
        <v>15</v>
      </c>
      <c r="I924" t="s">
        <v>12</v>
      </c>
    </row>
    <row r="925" spans="1:9">
      <c r="A925" t="s">
        <v>46</v>
      </c>
      <c r="B925" t="s">
        <v>33</v>
      </c>
      <c r="C925">
        <v>2022</v>
      </c>
      <c r="D925" t="s">
        <v>11</v>
      </c>
      <c r="E925">
        <v>13</v>
      </c>
      <c r="F925">
        <v>9</v>
      </c>
      <c r="G925">
        <v>4</v>
      </c>
      <c r="H925">
        <v>2</v>
      </c>
      <c r="I925" t="s">
        <v>12</v>
      </c>
    </row>
    <row r="926" spans="1:9">
      <c r="A926" t="s">
        <v>20</v>
      </c>
      <c r="B926" t="s">
        <v>87</v>
      </c>
      <c r="C926">
        <v>2022</v>
      </c>
      <c r="D926" t="s">
        <v>11</v>
      </c>
      <c r="E926">
        <v>18</v>
      </c>
      <c r="F926">
        <v>15</v>
      </c>
      <c r="G926">
        <v>3</v>
      </c>
      <c r="H926">
        <v>0</v>
      </c>
      <c r="I926" t="s">
        <v>24</v>
      </c>
    </row>
    <row r="927" spans="1:9">
      <c r="A927" t="s">
        <v>23</v>
      </c>
      <c r="B927" t="s">
        <v>16</v>
      </c>
      <c r="C927">
        <v>2022</v>
      </c>
      <c r="D927" t="s">
        <v>11</v>
      </c>
      <c r="E927">
        <v>16</v>
      </c>
      <c r="F927">
        <v>17</v>
      </c>
      <c r="G927">
        <v>-1</v>
      </c>
      <c r="H927">
        <v>0</v>
      </c>
      <c r="I927" t="s">
        <v>24</v>
      </c>
    </row>
    <row r="928" spans="1:9">
      <c r="A928" t="s">
        <v>25</v>
      </c>
      <c r="B928" t="s">
        <v>18</v>
      </c>
      <c r="C928">
        <v>2022</v>
      </c>
      <c r="D928" t="s">
        <v>11</v>
      </c>
      <c r="E928">
        <v>1</v>
      </c>
      <c r="F928">
        <v>1</v>
      </c>
      <c r="G928">
        <v>0</v>
      </c>
      <c r="H928">
        <v>25</v>
      </c>
      <c r="I928" t="s">
        <v>12</v>
      </c>
    </row>
    <row r="929" spans="1:9">
      <c r="A929" t="s">
        <v>26</v>
      </c>
      <c r="B929" t="s">
        <v>27</v>
      </c>
      <c r="C929">
        <v>2022</v>
      </c>
      <c r="D929" t="s">
        <v>11</v>
      </c>
      <c r="E929">
        <v>4</v>
      </c>
      <c r="F929">
        <v>4</v>
      </c>
      <c r="G929">
        <v>0</v>
      </c>
      <c r="H929">
        <v>12</v>
      </c>
      <c r="I929" t="s">
        <v>12</v>
      </c>
    </row>
    <row r="930" spans="1:9">
      <c r="A930" t="s">
        <v>48</v>
      </c>
      <c r="B930" t="s">
        <v>30</v>
      </c>
      <c r="C930">
        <v>2022</v>
      </c>
      <c r="D930" t="s">
        <v>11</v>
      </c>
      <c r="E930">
        <v>8</v>
      </c>
      <c r="F930">
        <v>7</v>
      </c>
      <c r="G930">
        <v>1</v>
      </c>
      <c r="H930">
        <v>6</v>
      </c>
      <c r="I930" t="s">
        <v>12</v>
      </c>
    </row>
    <row r="931" spans="1:9">
      <c r="A931" t="s">
        <v>28</v>
      </c>
      <c r="B931" t="s">
        <v>14</v>
      </c>
      <c r="C931">
        <v>2022</v>
      </c>
      <c r="D931" t="s">
        <v>11</v>
      </c>
      <c r="E931">
        <v>14</v>
      </c>
      <c r="F931">
        <v>8</v>
      </c>
      <c r="G931">
        <v>6</v>
      </c>
      <c r="H931">
        <v>4</v>
      </c>
      <c r="I931" t="s">
        <v>12</v>
      </c>
    </row>
    <row r="932" spans="1:9">
      <c r="A932" t="s">
        <v>29</v>
      </c>
      <c r="B932" t="s">
        <v>86</v>
      </c>
      <c r="C932">
        <v>2022</v>
      </c>
      <c r="D932" t="s">
        <v>11</v>
      </c>
      <c r="E932">
        <v>17</v>
      </c>
      <c r="F932">
        <v>14</v>
      </c>
      <c r="G932">
        <v>3</v>
      </c>
      <c r="H932">
        <v>0</v>
      </c>
      <c r="I932" t="s">
        <v>24</v>
      </c>
    </row>
    <row r="933" spans="1:9">
      <c r="A933" t="s">
        <v>31</v>
      </c>
      <c r="B933" t="s">
        <v>27</v>
      </c>
      <c r="C933">
        <v>2022</v>
      </c>
      <c r="D933" t="s">
        <v>11</v>
      </c>
      <c r="E933">
        <v>3</v>
      </c>
      <c r="F933">
        <v>2</v>
      </c>
      <c r="G933">
        <v>1</v>
      </c>
      <c r="H933">
        <v>18</v>
      </c>
      <c r="I933" t="s">
        <v>12</v>
      </c>
    </row>
    <row r="934" spans="1:9">
      <c r="A934" t="s">
        <v>32</v>
      </c>
      <c r="B934" t="s">
        <v>33</v>
      </c>
      <c r="C934">
        <v>2022</v>
      </c>
      <c r="D934" t="s">
        <v>11</v>
      </c>
      <c r="E934">
        <v>7</v>
      </c>
      <c r="F934">
        <v>6</v>
      </c>
      <c r="G934">
        <v>1</v>
      </c>
      <c r="H934">
        <v>9</v>
      </c>
      <c r="I934" t="s">
        <v>12</v>
      </c>
    </row>
    <row r="935" spans="1:9">
      <c r="A935" t="s">
        <v>34</v>
      </c>
      <c r="B935" t="s">
        <v>10</v>
      </c>
      <c r="C935">
        <v>2022</v>
      </c>
      <c r="D935" t="s">
        <v>11</v>
      </c>
      <c r="E935">
        <v>6</v>
      </c>
      <c r="F935">
        <v>5</v>
      </c>
      <c r="G935">
        <v>1</v>
      </c>
      <c r="H935">
        <v>10</v>
      </c>
      <c r="I935" t="s">
        <v>12</v>
      </c>
    </row>
    <row r="936" spans="1:9">
      <c r="A936" t="s">
        <v>35</v>
      </c>
      <c r="B936" t="s">
        <v>36</v>
      </c>
      <c r="C936">
        <v>2022</v>
      </c>
      <c r="D936" t="s">
        <v>11</v>
      </c>
      <c r="E936">
        <v>19</v>
      </c>
      <c r="F936">
        <v>13</v>
      </c>
      <c r="G936">
        <v>6</v>
      </c>
      <c r="H936">
        <v>0</v>
      </c>
      <c r="I936" t="s">
        <v>24</v>
      </c>
    </row>
    <row r="937" spans="1:9">
      <c r="A937" t="s">
        <v>101</v>
      </c>
      <c r="B937" t="s">
        <v>36</v>
      </c>
      <c r="C937">
        <v>2022</v>
      </c>
      <c r="D937" t="s">
        <v>11</v>
      </c>
      <c r="E937">
        <v>20</v>
      </c>
      <c r="F937">
        <v>19</v>
      </c>
      <c r="G937">
        <v>1</v>
      </c>
      <c r="H937">
        <v>0</v>
      </c>
      <c r="I937" t="s">
        <v>22</v>
      </c>
    </row>
    <row r="938" spans="1:9">
      <c r="A938" t="s">
        <v>37</v>
      </c>
      <c r="B938" t="s">
        <v>86</v>
      </c>
      <c r="C938">
        <v>2022</v>
      </c>
      <c r="D938" t="s">
        <v>11</v>
      </c>
      <c r="E938">
        <v>11</v>
      </c>
      <c r="F938">
        <v>11</v>
      </c>
      <c r="G938">
        <v>0</v>
      </c>
      <c r="H938">
        <v>0</v>
      </c>
      <c r="I938" t="s">
        <v>12</v>
      </c>
    </row>
    <row r="939" spans="1:9">
      <c r="A939" t="s">
        <v>102</v>
      </c>
      <c r="B939" t="s">
        <v>16</v>
      </c>
      <c r="C939">
        <v>2022</v>
      </c>
      <c r="D939" t="s">
        <v>11</v>
      </c>
      <c r="E939">
        <v>12</v>
      </c>
      <c r="F939">
        <v>16</v>
      </c>
      <c r="G939">
        <v>-4</v>
      </c>
      <c r="H939">
        <v>0</v>
      </c>
      <c r="I939" t="s">
        <v>24</v>
      </c>
    </row>
    <row r="940" spans="1:9">
      <c r="A940" t="s">
        <v>39</v>
      </c>
      <c r="B940" t="s">
        <v>87</v>
      </c>
      <c r="C940">
        <v>2022</v>
      </c>
      <c r="D940" t="s">
        <v>11</v>
      </c>
      <c r="E940">
        <v>15</v>
      </c>
      <c r="F940">
        <v>12</v>
      </c>
      <c r="G940">
        <v>3</v>
      </c>
      <c r="H940">
        <v>0</v>
      </c>
      <c r="I940" t="s">
        <v>24</v>
      </c>
    </row>
    <row r="941" spans="1:9">
      <c r="A941" t="s">
        <v>9</v>
      </c>
      <c r="B941" t="s">
        <v>10</v>
      </c>
      <c r="C941">
        <v>2022</v>
      </c>
      <c r="D941" t="s">
        <v>45</v>
      </c>
      <c r="E941">
        <v>5</v>
      </c>
      <c r="F941">
        <v>4</v>
      </c>
      <c r="G941">
        <v>1</v>
      </c>
      <c r="H941">
        <v>12</v>
      </c>
      <c r="I941" t="s">
        <v>12</v>
      </c>
    </row>
    <row r="942" spans="1:9">
      <c r="A942" t="s">
        <v>13</v>
      </c>
      <c r="B942" t="s">
        <v>30</v>
      </c>
      <c r="C942">
        <v>2022</v>
      </c>
      <c r="D942" t="s">
        <v>45</v>
      </c>
      <c r="E942">
        <v>10</v>
      </c>
      <c r="F942">
        <v>17</v>
      </c>
      <c r="G942">
        <v>-7</v>
      </c>
      <c r="H942">
        <v>0</v>
      </c>
      <c r="I942" t="s">
        <v>24</v>
      </c>
    </row>
    <row r="943" spans="1:9">
      <c r="A943" t="s">
        <v>100</v>
      </c>
      <c r="B943" t="s">
        <v>14</v>
      </c>
      <c r="C943">
        <v>2022</v>
      </c>
      <c r="D943" t="s">
        <v>45</v>
      </c>
      <c r="E943">
        <v>17</v>
      </c>
      <c r="F943">
        <v>19</v>
      </c>
      <c r="G943">
        <v>-2</v>
      </c>
      <c r="H943">
        <v>0</v>
      </c>
      <c r="I943" t="s">
        <v>49</v>
      </c>
    </row>
    <row r="944" spans="1:9">
      <c r="A944" t="s">
        <v>17</v>
      </c>
      <c r="B944" t="s">
        <v>18</v>
      </c>
      <c r="C944">
        <v>2022</v>
      </c>
      <c r="D944" t="s">
        <v>45</v>
      </c>
      <c r="E944">
        <v>3</v>
      </c>
      <c r="F944">
        <v>2</v>
      </c>
      <c r="G944">
        <v>1</v>
      </c>
      <c r="H944">
        <v>18</v>
      </c>
      <c r="I944" t="s">
        <v>12</v>
      </c>
    </row>
    <row r="945" spans="1:9">
      <c r="A945" t="s">
        <v>46</v>
      </c>
      <c r="B945" t="s">
        <v>33</v>
      </c>
      <c r="C945">
        <v>2022</v>
      </c>
      <c r="D945" t="s">
        <v>45</v>
      </c>
      <c r="E945">
        <v>7</v>
      </c>
      <c r="F945">
        <v>6</v>
      </c>
      <c r="G945">
        <v>1</v>
      </c>
      <c r="H945">
        <v>8</v>
      </c>
      <c r="I945" t="s">
        <v>12</v>
      </c>
    </row>
    <row r="946" spans="1:9">
      <c r="A946" t="s">
        <v>20</v>
      </c>
      <c r="B946" t="s">
        <v>87</v>
      </c>
      <c r="C946">
        <v>2022</v>
      </c>
      <c r="D946" t="s">
        <v>45</v>
      </c>
      <c r="E946">
        <v>12</v>
      </c>
      <c r="F946">
        <v>8</v>
      </c>
      <c r="G946">
        <v>4</v>
      </c>
      <c r="H946">
        <v>4</v>
      </c>
      <c r="I946" t="s">
        <v>12</v>
      </c>
    </row>
    <row r="947" spans="1:9">
      <c r="A947" t="s">
        <v>23</v>
      </c>
      <c r="B947" t="s">
        <v>16</v>
      </c>
      <c r="C947">
        <v>2022</v>
      </c>
      <c r="D947" t="s">
        <v>45</v>
      </c>
      <c r="E947">
        <v>16</v>
      </c>
      <c r="F947">
        <v>14</v>
      </c>
      <c r="G947">
        <v>2</v>
      </c>
      <c r="H947">
        <v>0</v>
      </c>
      <c r="I947" t="s">
        <v>24</v>
      </c>
    </row>
    <row r="948" spans="1:9">
      <c r="A948" t="s">
        <v>25</v>
      </c>
      <c r="B948" t="s">
        <v>18</v>
      </c>
      <c r="C948">
        <v>2022</v>
      </c>
      <c r="D948" t="s">
        <v>45</v>
      </c>
      <c r="E948">
        <v>2</v>
      </c>
      <c r="F948">
        <v>18</v>
      </c>
      <c r="G948">
        <v>-16</v>
      </c>
      <c r="H948">
        <v>0</v>
      </c>
      <c r="I948" t="s">
        <v>96</v>
      </c>
    </row>
    <row r="949" spans="1:9">
      <c r="A949" t="s">
        <v>26</v>
      </c>
      <c r="B949" t="s">
        <v>27</v>
      </c>
      <c r="C949">
        <v>2022</v>
      </c>
      <c r="D949" t="s">
        <v>45</v>
      </c>
      <c r="E949">
        <v>9</v>
      </c>
      <c r="F949">
        <v>20</v>
      </c>
      <c r="G949">
        <v>-11</v>
      </c>
      <c r="H949">
        <v>0</v>
      </c>
      <c r="I949" t="s">
        <v>78</v>
      </c>
    </row>
    <row r="950" spans="1:9">
      <c r="A950" t="s">
        <v>48</v>
      </c>
      <c r="B950" t="s">
        <v>30</v>
      </c>
      <c r="C950">
        <v>2022</v>
      </c>
      <c r="D950" t="s">
        <v>45</v>
      </c>
      <c r="E950">
        <v>8</v>
      </c>
      <c r="F950">
        <v>7</v>
      </c>
      <c r="G950">
        <v>1</v>
      </c>
      <c r="H950">
        <v>6</v>
      </c>
      <c r="I950" t="s">
        <v>12</v>
      </c>
    </row>
    <row r="951" spans="1:9">
      <c r="A951" t="s">
        <v>28</v>
      </c>
      <c r="B951" t="s">
        <v>14</v>
      </c>
      <c r="C951">
        <v>2022</v>
      </c>
      <c r="D951" t="s">
        <v>45</v>
      </c>
      <c r="E951">
        <v>19</v>
      </c>
      <c r="F951">
        <v>12</v>
      </c>
      <c r="G951">
        <v>7</v>
      </c>
      <c r="H951">
        <v>0</v>
      </c>
      <c r="I951" t="s">
        <v>12</v>
      </c>
    </row>
    <row r="952" spans="1:9">
      <c r="A952" t="s">
        <v>29</v>
      </c>
      <c r="B952" t="s">
        <v>86</v>
      </c>
      <c r="C952">
        <v>2022</v>
      </c>
      <c r="D952" t="s">
        <v>45</v>
      </c>
      <c r="E952">
        <v>11</v>
      </c>
      <c r="F952">
        <v>9</v>
      </c>
      <c r="G952">
        <v>2</v>
      </c>
      <c r="H952">
        <v>2</v>
      </c>
      <c r="I952" t="s">
        <v>12</v>
      </c>
    </row>
    <row r="953" spans="1:9">
      <c r="A953" t="s">
        <v>31</v>
      </c>
      <c r="B953" t="s">
        <v>27</v>
      </c>
      <c r="C953">
        <v>2022</v>
      </c>
      <c r="D953" t="s">
        <v>45</v>
      </c>
      <c r="E953">
        <v>1</v>
      </c>
      <c r="F953">
        <v>1</v>
      </c>
      <c r="G953">
        <v>0</v>
      </c>
      <c r="H953">
        <v>26</v>
      </c>
      <c r="I953" t="s">
        <v>12</v>
      </c>
    </row>
    <row r="954" spans="1:9">
      <c r="A954" t="s">
        <v>32</v>
      </c>
      <c r="B954" t="s">
        <v>33</v>
      </c>
      <c r="C954">
        <v>2022</v>
      </c>
      <c r="D954" t="s">
        <v>45</v>
      </c>
      <c r="E954">
        <v>4</v>
      </c>
      <c r="F954">
        <v>5</v>
      </c>
      <c r="G954">
        <v>-1</v>
      </c>
      <c r="H954">
        <v>10</v>
      </c>
      <c r="I954" t="s">
        <v>12</v>
      </c>
    </row>
    <row r="955" spans="1:9">
      <c r="A955" t="s">
        <v>34</v>
      </c>
      <c r="B955" t="s">
        <v>10</v>
      </c>
      <c r="C955">
        <v>2022</v>
      </c>
      <c r="D955" t="s">
        <v>45</v>
      </c>
      <c r="E955">
        <v>6</v>
      </c>
      <c r="F955">
        <v>3</v>
      </c>
      <c r="G955">
        <v>3</v>
      </c>
      <c r="H955">
        <v>15</v>
      </c>
      <c r="I955" t="s">
        <v>12</v>
      </c>
    </row>
    <row r="956" spans="1:9">
      <c r="A956" t="s">
        <v>35</v>
      </c>
      <c r="B956" t="s">
        <v>36</v>
      </c>
      <c r="C956">
        <v>2022</v>
      </c>
      <c r="D956" t="s">
        <v>45</v>
      </c>
      <c r="E956">
        <v>20</v>
      </c>
      <c r="F956">
        <v>10</v>
      </c>
      <c r="G956">
        <v>10</v>
      </c>
      <c r="H956">
        <v>1</v>
      </c>
      <c r="I956" t="s">
        <v>12</v>
      </c>
    </row>
    <row r="957" spans="1:9">
      <c r="A957" t="s">
        <v>101</v>
      </c>
      <c r="B957" t="s">
        <v>36</v>
      </c>
      <c r="C957">
        <v>2022</v>
      </c>
      <c r="D957" t="s">
        <v>45</v>
      </c>
      <c r="E957">
        <v>18</v>
      </c>
      <c r="F957">
        <v>16</v>
      </c>
      <c r="G957">
        <v>2</v>
      </c>
      <c r="H957">
        <v>0</v>
      </c>
      <c r="I957" t="s">
        <v>24</v>
      </c>
    </row>
    <row r="958" spans="1:9">
      <c r="A958" t="s">
        <v>37</v>
      </c>
      <c r="B958" t="s">
        <v>86</v>
      </c>
      <c r="C958">
        <v>2022</v>
      </c>
      <c r="D958" t="s">
        <v>45</v>
      </c>
      <c r="E958">
        <v>13</v>
      </c>
      <c r="F958">
        <v>15</v>
      </c>
      <c r="G958">
        <v>-2</v>
      </c>
      <c r="H958">
        <v>0</v>
      </c>
      <c r="I958" t="s">
        <v>24</v>
      </c>
    </row>
    <row r="959" spans="1:9">
      <c r="A959" t="s">
        <v>102</v>
      </c>
      <c r="B959" t="s">
        <v>16</v>
      </c>
      <c r="C959">
        <v>2022</v>
      </c>
      <c r="D959" t="s">
        <v>45</v>
      </c>
      <c r="E959">
        <v>15</v>
      </c>
      <c r="F959">
        <v>13</v>
      </c>
      <c r="G959">
        <v>2</v>
      </c>
      <c r="H959">
        <v>0</v>
      </c>
      <c r="I959" t="s">
        <v>24</v>
      </c>
    </row>
    <row r="960" spans="1:9">
      <c r="A960" t="s">
        <v>39</v>
      </c>
      <c r="B960" t="s">
        <v>87</v>
      </c>
      <c r="C960">
        <v>2022</v>
      </c>
      <c r="D960" t="s">
        <v>45</v>
      </c>
      <c r="E960">
        <v>14</v>
      </c>
      <c r="F960">
        <v>11</v>
      </c>
      <c r="G960">
        <v>3</v>
      </c>
      <c r="H960">
        <v>0</v>
      </c>
      <c r="I960" t="s">
        <v>12</v>
      </c>
    </row>
    <row r="961" spans="1:9">
      <c r="A961" t="s">
        <v>9</v>
      </c>
      <c r="B961" t="s">
        <v>10</v>
      </c>
      <c r="C961">
        <v>2022</v>
      </c>
      <c r="D961" t="s">
        <v>50</v>
      </c>
      <c r="E961">
        <v>8</v>
      </c>
      <c r="F961">
        <v>3</v>
      </c>
      <c r="G961">
        <v>5</v>
      </c>
      <c r="H961">
        <v>15</v>
      </c>
      <c r="I961" t="s">
        <v>12</v>
      </c>
    </row>
    <row r="962" spans="1:9">
      <c r="A962" t="s">
        <v>13</v>
      </c>
      <c r="B962" t="s">
        <v>30</v>
      </c>
      <c r="C962">
        <v>2022</v>
      </c>
      <c r="D962" t="s">
        <v>50</v>
      </c>
      <c r="E962">
        <v>19</v>
      </c>
      <c r="F962">
        <v>10</v>
      </c>
      <c r="G962">
        <v>9</v>
      </c>
      <c r="H962">
        <v>1</v>
      </c>
      <c r="I962" t="s">
        <v>24</v>
      </c>
    </row>
    <row r="963" spans="1:9">
      <c r="A963" t="s">
        <v>100</v>
      </c>
      <c r="B963" t="s">
        <v>14</v>
      </c>
      <c r="C963">
        <v>2022</v>
      </c>
      <c r="D963" t="s">
        <v>50</v>
      </c>
      <c r="E963">
        <v>18</v>
      </c>
      <c r="F963">
        <v>17</v>
      </c>
      <c r="G963">
        <v>1</v>
      </c>
      <c r="H963">
        <v>0</v>
      </c>
      <c r="I963" t="s">
        <v>24</v>
      </c>
    </row>
    <row r="964" spans="1:9">
      <c r="A964" t="s">
        <v>17</v>
      </c>
      <c r="B964" t="s">
        <v>18</v>
      </c>
      <c r="C964">
        <v>2022</v>
      </c>
      <c r="D964" t="s">
        <v>50</v>
      </c>
      <c r="E964">
        <v>5</v>
      </c>
      <c r="F964">
        <v>20</v>
      </c>
      <c r="G964">
        <v>-15</v>
      </c>
      <c r="H964">
        <v>0</v>
      </c>
      <c r="I964" t="s">
        <v>22</v>
      </c>
    </row>
    <row r="965" spans="1:9">
      <c r="A965" t="s">
        <v>46</v>
      </c>
      <c r="B965" t="s">
        <v>33</v>
      </c>
      <c r="C965">
        <v>2022</v>
      </c>
      <c r="D965" t="s">
        <v>50</v>
      </c>
      <c r="E965">
        <v>11</v>
      </c>
      <c r="F965">
        <v>9</v>
      </c>
      <c r="G965">
        <v>2</v>
      </c>
      <c r="H965">
        <v>2</v>
      </c>
      <c r="I965" t="s">
        <v>24</v>
      </c>
    </row>
    <row r="966" spans="1:9">
      <c r="A966" t="s">
        <v>20</v>
      </c>
      <c r="B966" t="s">
        <v>87</v>
      </c>
      <c r="C966">
        <v>2022</v>
      </c>
      <c r="D966" t="s">
        <v>50</v>
      </c>
      <c r="E966">
        <v>0</v>
      </c>
      <c r="F966">
        <v>11</v>
      </c>
      <c r="G966">
        <v>-11</v>
      </c>
      <c r="H966">
        <v>0</v>
      </c>
      <c r="I966" t="s">
        <v>24</v>
      </c>
    </row>
    <row r="967" spans="1:9">
      <c r="A967" t="s">
        <v>23</v>
      </c>
      <c r="B967" t="s">
        <v>16</v>
      </c>
      <c r="C967">
        <v>2022</v>
      </c>
      <c r="D967" t="s">
        <v>50</v>
      </c>
      <c r="E967">
        <v>7</v>
      </c>
      <c r="F967">
        <v>8</v>
      </c>
      <c r="G967">
        <v>-1</v>
      </c>
      <c r="H967">
        <v>4</v>
      </c>
      <c r="I967" t="s">
        <v>24</v>
      </c>
    </row>
    <row r="968" spans="1:9">
      <c r="A968" t="s">
        <v>25</v>
      </c>
      <c r="B968" t="s">
        <v>18</v>
      </c>
      <c r="C968">
        <v>2022</v>
      </c>
      <c r="D968" t="s">
        <v>50</v>
      </c>
      <c r="E968">
        <v>1</v>
      </c>
      <c r="F968">
        <v>2</v>
      </c>
      <c r="G968">
        <v>-1</v>
      </c>
      <c r="H968">
        <v>19</v>
      </c>
      <c r="I968" t="s">
        <v>12</v>
      </c>
    </row>
    <row r="969" spans="1:9">
      <c r="A969" t="s">
        <v>26</v>
      </c>
      <c r="B969" t="s">
        <v>27</v>
      </c>
      <c r="C969">
        <v>2022</v>
      </c>
      <c r="D969" t="s">
        <v>50</v>
      </c>
      <c r="E969">
        <v>3</v>
      </c>
      <c r="F969">
        <v>18</v>
      </c>
      <c r="G969">
        <v>-15</v>
      </c>
      <c r="H969">
        <v>0</v>
      </c>
      <c r="I969" t="s">
        <v>81</v>
      </c>
    </row>
    <row r="970" spans="1:9">
      <c r="A970" t="s">
        <v>48</v>
      </c>
      <c r="B970" t="s">
        <v>30</v>
      </c>
      <c r="C970">
        <v>2022</v>
      </c>
      <c r="D970" t="s">
        <v>50</v>
      </c>
      <c r="E970">
        <v>6</v>
      </c>
      <c r="F970">
        <v>5</v>
      </c>
      <c r="G970">
        <v>1</v>
      </c>
      <c r="H970">
        <v>10</v>
      </c>
      <c r="I970" t="s">
        <v>12</v>
      </c>
    </row>
    <row r="971" spans="1:9">
      <c r="A971" t="s">
        <v>28</v>
      </c>
      <c r="B971" t="s">
        <v>14</v>
      </c>
      <c r="C971">
        <v>2022</v>
      </c>
      <c r="D971" t="s">
        <v>50</v>
      </c>
      <c r="E971">
        <v>12</v>
      </c>
      <c r="F971">
        <v>13</v>
      </c>
      <c r="G971">
        <v>-1</v>
      </c>
      <c r="H971">
        <v>0</v>
      </c>
      <c r="I971" t="s">
        <v>24</v>
      </c>
    </row>
    <row r="972" spans="1:9">
      <c r="A972" t="s">
        <v>29</v>
      </c>
      <c r="B972" t="s">
        <v>86</v>
      </c>
      <c r="C972">
        <v>2022</v>
      </c>
      <c r="D972" t="s">
        <v>50</v>
      </c>
      <c r="E972">
        <v>14</v>
      </c>
      <c r="F972">
        <v>15</v>
      </c>
      <c r="G972">
        <v>-1</v>
      </c>
      <c r="H972">
        <v>0</v>
      </c>
      <c r="I972" t="s">
        <v>24</v>
      </c>
    </row>
    <row r="973" spans="1:9">
      <c r="A973" t="s">
        <v>31</v>
      </c>
      <c r="B973" t="s">
        <v>27</v>
      </c>
      <c r="C973">
        <v>2022</v>
      </c>
      <c r="D973" t="s">
        <v>50</v>
      </c>
      <c r="E973">
        <v>2</v>
      </c>
      <c r="F973">
        <v>1</v>
      </c>
      <c r="G973">
        <v>1</v>
      </c>
      <c r="H973">
        <v>25</v>
      </c>
      <c r="I973" t="s">
        <v>12</v>
      </c>
    </row>
    <row r="974" spans="1:9">
      <c r="A974" t="s">
        <v>32</v>
      </c>
      <c r="B974" t="s">
        <v>33</v>
      </c>
      <c r="C974">
        <v>2022</v>
      </c>
      <c r="D974" t="s">
        <v>50</v>
      </c>
      <c r="E974">
        <v>10</v>
      </c>
      <c r="F974">
        <v>7</v>
      </c>
      <c r="G974">
        <v>3</v>
      </c>
      <c r="H974">
        <v>6</v>
      </c>
      <c r="I974" t="s">
        <v>24</v>
      </c>
    </row>
    <row r="975" spans="1:9">
      <c r="A975" t="s">
        <v>34</v>
      </c>
      <c r="B975" t="s">
        <v>10</v>
      </c>
      <c r="C975">
        <v>2022</v>
      </c>
      <c r="D975" t="s">
        <v>50</v>
      </c>
      <c r="E975">
        <v>4</v>
      </c>
      <c r="F975">
        <v>4</v>
      </c>
      <c r="G975">
        <v>0</v>
      </c>
      <c r="H975">
        <v>12</v>
      </c>
      <c r="I975" t="s">
        <v>12</v>
      </c>
    </row>
    <row r="976" spans="1:9">
      <c r="A976" t="s">
        <v>35</v>
      </c>
      <c r="B976" t="s">
        <v>36</v>
      </c>
      <c r="C976">
        <v>2022</v>
      </c>
      <c r="D976" t="s">
        <v>50</v>
      </c>
      <c r="E976">
        <v>15</v>
      </c>
      <c r="F976">
        <v>12</v>
      </c>
      <c r="G976">
        <v>3</v>
      </c>
      <c r="H976">
        <v>0</v>
      </c>
      <c r="I976" t="s">
        <v>24</v>
      </c>
    </row>
    <row r="977" spans="1:9">
      <c r="A977" t="s">
        <v>101</v>
      </c>
      <c r="B977" t="s">
        <v>36</v>
      </c>
      <c r="C977">
        <v>2022</v>
      </c>
      <c r="D977" t="s">
        <v>50</v>
      </c>
      <c r="E977">
        <v>17</v>
      </c>
      <c r="F977">
        <v>19</v>
      </c>
      <c r="G977">
        <v>-2</v>
      </c>
      <c r="H977">
        <v>0</v>
      </c>
      <c r="I977" t="s">
        <v>93</v>
      </c>
    </row>
    <row r="978" spans="1:9">
      <c r="A978" t="s">
        <v>37</v>
      </c>
      <c r="B978" t="s">
        <v>86</v>
      </c>
      <c r="C978">
        <v>2022</v>
      </c>
      <c r="D978" t="s">
        <v>50</v>
      </c>
      <c r="E978">
        <v>16</v>
      </c>
      <c r="F978">
        <v>16</v>
      </c>
      <c r="G978">
        <v>0</v>
      </c>
      <c r="H978">
        <v>0</v>
      </c>
      <c r="I978" t="s">
        <v>24</v>
      </c>
    </row>
    <row r="979" spans="1:9">
      <c r="A979" t="s">
        <v>102</v>
      </c>
      <c r="B979" t="s">
        <v>16</v>
      </c>
      <c r="C979">
        <v>2022</v>
      </c>
      <c r="D979" t="s">
        <v>50</v>
      </c>
      <c r="E979">
        <v>9</v>
      </c>
      <c r="F979">
        <v>6</v>
      </c>
      <c r="G979">
        <v>3</v>
      </c>
      <c r="H979">
        <v>8</v>
      </c>
      <c r="I979" t="s">
        <v>24</v>
      </c>
    </row>
    <row r="980" spans="1:9">
      <c r="A980" t="s">
        <v>39</v>
      </c>
      <c r="B980" t="s">
        <v>87</v>
      </c>
      <c r="C980">
        <v>2022</v>
      </c>
      <c r="D980" t="s">
        <v>50</v>
      </c>
      <c r="E980">
        <v>13</v>
      </c>
      <c r="F980">
        <v>14</v>
      </c>
      <c r="G980">
        <v>-1</v>
      </c>
      <c r="H980">
        <v>0</v>
      </c>
      <c r="I980" t="s">
        <v>24</v>
      </c>
    </row>
    <row r="981" spans="1:9">
      <c r="A981" t="s">
        <v>9</v>
      </c>
      <c r="B981" t="s">
        <v>10</v>
      </c>
      <c r="C981">
        <v>2022</v>
      </c>
      <c r="D981" t="s">
        <v>54</v>
      </c>
      <c r="E981">
        <v>7</v>
      </c>
      <c r="F981">
        <v>4</v>
      </c>
      <c r="G981">
        <v>3</v>
      </c>
      <c r="H981">
        <v>12</v>
      </c>
      <c r="I981" t="s">
        <v>12</v>
      </c>
    </row>
    <row r="982" spans="1:9">
      <c r="A982" t="s">
        <v>13</v>
      </c>
      <c r="B982" t="s">
        <v>30</v>
      </c>
      <c r="C982">
        <v>2022</v>
      </c>
      <c r="D982" t="s">
        <v>54</v>
      </c>
      <c r="E982">
        <v>10</v>
      </c>
      <c r="F982">
        <v>7</v>
      </c>
      <c r="G982">
        <v>3</v>
      </c>
      <c r="H982">
        <v>6</v>
      </c>
      <c r="I982" t="s">
        <v>12</v>
      </c>
    </row>
    <row r="983" spans="1:9">
      <c r="A983" t="s">
        <v>100</v>
      </c>
      <c r="B983" t="s">
        <v>14</v>
      </c>
      <c r="C983">
        <v>2022</v>
      </c>
      <c r="D983" t="s">
        <v>54</v>
      </c>
      <c r="E983">
        <v>9</v>
      </c>
      <c r="F983">
        <v>6</v>
      </c>
      <c r="G983">
        <v>3</v>
      </c>
      <c r="H983">
        <v>8</v>
      </c>
      <c r="I983" t="s">
        <v>12</v>
      </c>
    </row>
    <row r="984" spans="1:9">
      <c r="A984" t="s">
        <v>17</v>
      </c>
      <c r="B984" t="s">
        <v>18</v>
      </c>
      <c r="C984">
        <v>2022</v>
      </c>
      <c r="D984" t="s">
        <v>54</v>
      </c>
      <c r="E984">
        <v>2</v>
      </c>
      <c r="F984">
        <v>2</v>
      </c>
      <c r="G984">
        <v>0</v>
      </c>
      <c r="H984">
        <v>19</v>
      </c>
      <c r="I984" t="s">
        <v>12</v>
      </c>
    </row>
    <row r="985" spans="1:9">
      <c r="A985" t="s">
        <v>46</v>
      </c>
      <c r="B985" t="s">
        <v>33</v>
      </c>
      <c r="C985">
        <v>2022</v>
      </c>
      <c r="D985" t="s">
        <v>54</v>
      </c>
      <c r="E985">
        <v>12</v>
      </c>
      <c r="F985">
        <v>8</v>
      </c>
      <c r="G985">
        <v>4</v>
      </c>
      <c r="H985">
        <v>4</v>
      </c>
      <c r="I985" t="s">
        <v>12</v>
      </c>
    </row>
    <row r="986" spans="1:9">
      <c r="A986" t="s">
        <v>20</v>
      </c>
      <c r="B986" t="s">
        <v>87</v>
      </c>
      <c r="C986">
        <v>2022</v>
      </c>
      <c r="D986" t="s">
        <v>54</v>
      </c>
      <c r="E986">
        <v>15</v>
      </c>
      <c r="F986">
        <v>11</v>
      </c>
      <c r="G986">
        <v>4</v>
      </c>
      <c r="H986">
        <v>0</v>
      </c>
      <c r="I986" t="s">
        <v>24</v>
      </c>
    </row>
    <row r="987" spans="1:9">
      <c r="A987" t="s">
        <v>23</v>
      </c>
      <c r="B987" t="s">
        <v>16</v>
      </c>
      <c r="C987">
        <v>2022</v>
      </c>
      <c r="D987" t="s">
        <v>54</v>
      </c>
      <c r="E987">
        <v>16</v>
      </c>
      <c r="F987">
        <v>17</v>
      </c>
      <c r="G987">
        <v>-1</v>
      </c>
      <c r="H987">
        <v>0</v>
      </c>
      <c r="I987" t="s">
        <v>81</v>
      </c>
    </row>
    <row r="988" spans="1:9">
      <c r="A988" t="s">
        <v>25</v>
      </c>
      <c r="B988" t="s">
        <v>18</v>
      </c>
      <c r="C988">
        <v>2022</v>
      </c>
      <c r="D988" t="s">
        <v>54</v>
      </c>
      <c r="E988">
        <v>3</v>
      </c>
      <c r="F988">
        <v>1</v>
      </c>
      <c r="G988">
        <v>2</v>
      </c>
      <c r="H988">
        <v>25</v>
      </c>
      <c r="I988" t="s">
        <v>12</v>
      </c>
    </row>
    <row r="989" spans="1:9">
      <c r="A989" t="s">
        <v>26</v>
      </c>
      <c r="B989" t="s">
        <v>27</v>
      </c>
      <c r="C989">
        <v>2022</v>
      </c>
      <c r="D989" t="s">
        <v>54</v>
      </c>
      <c r="E989">
        <v>4</v>
      </c>
      <c r="F989">
        <v>20</v>
      </c>
      <c r="G989">
        <v>-16</v>
      </c>
      <c r="H989">
        <v>0</v>
      </c>
      <c r="I989" t="s">
        <v>68</v>
      </c>
    </row>
    <row r="990" spans="1:9">
      <c r="A990" t="s">
        <v>48</v>
      </c>
      <c r="B990" t="s">
        <v>30</v>
      </c>
      <c r="C990">
        <v>2022</v>
      </c>
      <c r="D990" t="s">
        <v>54</v>
      </c>
      <c r="E990">
        <v>13</v>
      </c>
      <c r="F990">
        <v>10</v>
      </c>
      <c r="G990">
        <v>3</v>
      </c>
      <c r="H990">
        <v>1</v>
      </c>
      <c r="I990" t="s">
        <v>12</v>
      </c>
    </row>
    <row r="991" spans="1:9">
      <c r="A991" t="s">
        <v>28</v>
      </c>
      <c r="B991" t="s">
        <v>14</v>
      </c>
      <c r="C991">
        <v>2022</v>
      </c>
      <c r="D991" t="s">
        <v>54</v>
      </c>
      <c r="E991">
        <v>19</v>
      </c>
      <c r="F991">
        <v>16</v>
      </c>
      <c r="G991">
        <v>3</v>
      </c>
      <c r="H991">
        <v>0</v>
      </c>
      <c r="I991" t="s">
        <v>103</v>
      </c>
    </row>
    <row r="992" spans="1:9">
      <c r="A992" t="s">
        <v>29</v>
      </c>
      <c r="B992" t="s">
        <v>86</v>
      </c>
      <c r="C992">
        <v>2022</v>
      </c>
      <c r="D992" t="s">
        <v>54</v>
      </c>
      <c r="E992">
        <v>6</v>
      </c>
      <c r="F992">
        <v>5</v>
      </c>
      <c r="G992">
        <v>1</v>
      </c>
      <c r="H992">
        <v>10</v>
      </c>
      <c r="I992" t="s">
        <v>12</v>
      </c>
    </row>
    <row r="993" spans="1:9">
      <c r="A993" t="s">
        <v>31</v>
      </c>
      <c r="B993" t="s">
        <v>27</v>
      </c>
      <c r="C993">
        <v>2022</v>
      </c>
      <c r="D993" t="s">
        <v>54</v>
      </c>
      <c r="E993">
        <v>1</v>
      </c>
      <c r="F993">
        <v>19</v>
      </c>
      <c r="G993">
        <v>-18</v>
      </c>
      <c r="H993">
        <v>0</v>
      </c>
      <c r="I993" t="s">
        <v>81</v>
      </c>
    </row>
    <row r="994" spans="1:9">
      <c r="A994" t="s">
        <v>32</v>
      </c>
      <c r="B994" t="s">
        <v>33</v>
      </c>
      <c r="C994">
        <v>2022</v>
      </c>
      <c r="D994" t="s">
        <v>54</v>
      </c>
      <c r="E994">
        <v>11</v>
      </c>
      <c r="F994">
        <v>9</v>
      </c>
      <c r="G994">
        <v>2</v>
      </c>
      <c r="H994">
        <v>2</v>
      </c>
      <c r="I994" t="s">
        <v>12</v>
      </c>
    </row>
    <row r="995" spans="1:9">
      <c r="A995" t="s">
        <v>34</v>
      </c>
      <c r="B995" t="s">
        <v>10</v>
      </c>
      <c r="C995">
        <v>2022</v>
      </c>
      <c r="D995" t="s">
        <v>54</v>
      </c>
      <c r="E995">
        <v>5</v>
      </c>
      <c r="F995">
        <v>3</v>
      </c>
      <c r="G995">
        <v>2</v>
      </c>
      <c r="H995">
        <v>15</v>
      </c>
      <c r="I995" t="s">
        <v>12</v>
      </c>
    </row>
    <row r="996" spans="1:9">
      <c r="A996" t="s">
        <v>35</v>
      </c>
      <c r="B996" t="s">
        <v>36</v>
      </c>
      <c r="C996">
        <v>2022</v>
      </c>
      <c r="D996" t="s">
        <v>54</v>
      </c>
      <c r="E996">
        <v>17</v>
      </c>
      <c r="F996">
        <v>12</v>
      </c>
      <c r="G996">
        <v>5</v>
      </c>
      <c r="H996">
        <v>0</v>
      </c>
      <c r="I996" t="s">
        <v>24</v>
      </c>
    </row>
    <row r="997" spans="1:9">
      <c r="A997" t="s">
        <v>101</v>
      </c>
      <c r="B997" t="s">
        <v>36</v>
      </c>
      <c r="C997">
        <v>2022</v>
      </c>
      <c r="D997" t="s">
        <v>54</v>
      </c>
      <c r="E997">
        <v>18</v>
      </c>
      <c r="F997">
        <v>15</v>
      </c>
      <c r="G997">
        <v>3</v>
      </c>
      <c r="H997">
        <v>0</v>
      </c>
      <c r="I997" t="s">
        <v>24</v>
      </c>
    </row>
    <row r="998" spans="1:9">
      <c r="A998" t="s">
        <v>37</v>
      </c>
      <c r="B998" t="s">
        <v>86</v>
      </c>
      <c r="C998">
        <v>2022</v>
      </c>
      <c r="D998" t="s">
        <v>54</v>
      </c>
      <c r="E998">
        <v>8</v>
      </c>
      <c r="F998">
        <v>13</v>
      </c>
      <c r="G998">
        <v>-5</v>
      </c>
      <c r="H998">
        <v>0</v>
      </c>
      <c r="I998" t="s">
        <v>24</v>
      </c>
    </row>
    <row r="999" spans="1:9">
      <c r="A999" t="s">
        <v>102</v>
      </c>
      <c r="B999" t="s">
        <v>16</v>
      </c>
      <c r="C999">
        <v>2022</v>
      </c>
      <c r="D999" t="s">
        <v>54</v>
      </c>
      <c r="E999">
        <v>20</v>
      </c>
      <c r="F999">
        <v>14</v>
      </c>
      <c r="G999">
        <v>6</v>
      </c>
      <c r="H999">
        <v>0</v>
      </c>
      <c r="I999" t="s">
        <v>24</v>
      </c>
    </row>
    <row r="1000" spans="1:9">
      <c r="A1000" t="s">
        <v>39</v>
      </c>
      <c r="B1000" t="s">
        <v>87</v>
      </c>
      <c r="C1000">
        <v>2022</v>
      </c>
      <c r="D1000" t="s">
        <v>54</v>
      </c>
      <c r="E1000">
        <v>14</v>
      </c>
      <c r="F1000">
        <v>18</v>
      </c>
      <c r="G1000">
        <v>-4</v>
      </c>
      <c r="H1000">
        <v>0</v>
      </c>
      <c r="I1000" t="s">
        <v>68</v>
      </c>
    </row>
    <row r="1001" spans="1:9">
      <c r="A1001" t="s">
        <v>9</v>
      </c>
      <c r="B1001" t="s">
        <v>10</v>
      </c>
      <c r="C1001">
        <v>2022</v>
      </c>
      <c r="D1001" t="s">
        <v>57</v>
      </c>
      <c r="E1001">
        <v>5</v>
      </c>
      <c r="F1001">
        <v>3</v>
      </c>
      <c r="G1001">
        <v>2</v>
      </c>
      <c r="H1001">
        <v>15</v>
      </c>
      <c r="I1001" t="s">
        <v>12</v>
      </c>
    </row>
    <row r="1002" spans="1:9">
      <c r="A1002" t="s">
        <v>13</v>
      </c>
      <c r="B1002" t="s">
        <v>30</v>
      </c>
      <c r="C1002">
        <v>2022</v>
      </c>
      <c r="D1002" t="s">
        <v>57</v>
      </c>
      <c r="E1002">
        <v>8</v>
      </c>
      <c r="F1002">
        <v>9</v>
      </c>
      <c r="G1002">
        <v>-1</v>
      </c>
      <c r="H1002">
        <v>2</v>
      </c>
      <c r="I1002" t="s">
        <v>12</v>
      </c>
    </row>
    <row r="1003" spans="1:9">
      <c r="A1003" t="s">
        <v>15</v>
      </c>
      <c r="B1003" t="s">
        <v>14</v>
      </c>
      <c r="C1003">
        <v>2022</v>
      </c>
      <c r="D1003" t="s">
        <v>57</v>
      </c>
      <c r="E1003">
        <v>17</v>
      </c>
      <c r="F1003">
        <v>17</v>
      </c>
      <c r="G1003">
        <v>0</v>
      </c>
      <c r="H1003">
        <v>0</v>
      </c>
      <c r="I1003" t="s">
        <v>12</v>
      </c>
    </row>
    <row r="1004" spans="1:9">
      <c r="A1004" t="s">
        <v>17</v>
      </c>
      <c r="B1004" t="s">
        <v>18</v>
      </c>
      <c r="C1004">
        <v>2022</v>
      </c>
      <c r="D1004" t="s">
        <v>57</v>
      </c>
      <c r="E1004">
        <v>4</v>
      </c>
      <c r="F1004">
        <v>18</v>
      </c>
      <c r="G1004">
        <v>-14</v>
      </c>
      <c r="H1004">
        <v>0</v>
      </c>
      <c r="I1004" t="s">
        <v>104</v>
      </c>
    </row>
    <row r="1005" spans="1:9">
      <c r="A1005" t="s">
        <v>46</v>
      </c>
      <c r="B1005" t="s">
        <v>33</v>
      </c>
      <c r="C1005">
        <v>2022</v>
      </c>
      <c r="D1005" t="s">
        <v>57</v>
      </c>
      <c r="E1005">
        <v>18</v>
      </c>
      <c r="F1005">
        <v>14</v>
      </c>
      <c r="G1005">
        <v>4</v>
      </c>
      <c r="H1005">
        <v>0</v>
      </c>
      <c r="I1005" t="s">
        <v>12</v>
      </c>
    </row>
    <row r="1006" spans="1:9">
      <c r="A1006" t="s">
        <v>20</v>
      </c>
      <c r="B1006" t="s">
        <v>87</v>
      </c>
      <c r="C1006">
        <v>2022</v>
      </c>
      <c r="D1006" t="s">
        <v>57</v>
      </c>
      <c r="E1006">
        <v>6</v>
      </c>
      <c r="F1006">
        <v>6</v>
      </c>
      <c r="G1006">
        <v>0</v>
      </c>
      <c r="H1006">
        <v>8</v>
      </c>
      <c r="I1006" t="s">
        <v>12</v>
      </c>
    </row>
    <row r="1007" spans="1:9">
      <c r="A1007" t="s">
        <v>23</v>
      </c>
      <c r="B1007" t="s">
        <v>16</v>
      </c>
      <c r="C1007">
        <v>2022</v>
      </c>
      <c r="D1007" t="s">
        <v>57</v>
      </c>
      <c r="E1007">
        <v>7</v>
      </c>
      <c r="F1007">
        <v>5</v>
      </c>
      <c r="G1007">
        <v>2</v>
      </c>
      <c r="H1007">
        <v>10</v>
      </c>
      <c r="I1007" t="s">
        <v>12</v>
      </c>
    </row>
    <row r="1008" spans="1:9">
      <c r="A1008" t="s">
        <v>25</v>
      </c>
      <c r="B1008" t="s">
        <v>18</v>
      </c>
      <c r="C1008">
        <v>2022</v>
      </c>
      <c r="D1008" t="s">
        <v>57</v>
      </c>
      <c r="E1008">
        <v>2</v>
      </c>
      <c r="F1008">
        <v>19</v>
      </c>
      <c r="G1008">
        <v>-17</v>
      </c>
      <c r="H1008">
        <v>0</v>
      </c>
      <c r="I1008" t="s">
        <v>104</v>
      </c>
    </row>
    <row r="1009" spans="1:9">
      <c r="A1009" t="s">
        <v>26</v>
      </c>
      <c r="B1009" t="s">
        <v>27</v>
      </c>
      <c r="C1009">
        <v>2022</v>
      </c>
      <c r="D1009" t="s">
        <v>57</v>
      </c>
      <c r="E1009">
        <v>3</v>
      </c>
      <c r="F1009">
        <v>2</v>
      </c>
      <c r="G1009">
        <v>1</v>
      </c>
      <c r="H1009">
        <v>18</v>
      </c>
      <c r="I1009" t="s">
        <v>12</v>
      </c>
    </row>
    <row r="1010" spans="1:9">
      <c r="A1010" t="s">
        <v>48</v>
      </c>
      <c r="B1010" t="s">
        <v>30</v>
      </c>
      <c r="C1010">
        <v>2022</v>
      </c>
      <c r="D1010" t="s">
        <v>57</v>
      </c>
      <c r="E1010">
        <v>11</v>
      </c>
      <c r="F1010">
        <v>7</v>
      </c>
      <c r="G1010">
        <v>4</v>
      </c>
      <c r="H1010">
        <v>6</v>
      </c>
      <c r="I1010" t="s">
        <v>12</v>
      </c>
    </row>
    <row r="1011" spans="1:9">
      <c r="A1011" t="s">
        <v>28</v>
      </c>
      <c r="B1011" t="s">
        <v>14</v>
      </c>
      <c r="C1011">
        <v>2022</v>
      </c>
      <c r="D1011" t="s">
        <v>57</v>
      </c>
      <c r="E1011">
        <v>19</v>
      </c>
      <c r="F1011">
        <v>12</v>
      </c>
      <c r="G1011">
        <v>7</v>
      </c>
      <c r="H1011">
        <v>0</v>
      </c>
      <c r="I1011" t="s">
        <v>12</v>
      </c>
    </row>
    <row r="1012" spans="1:9">
      <c r="A1012" t="s">
        <v>29</v>
      </c>
      <c r="B1012" t="s">
        <v>86</v>
      </c>
      <c r="C1012">
        <v>2022</v>
      </c>
      <c r="D1012" t="s">
        <v>57</v>
      </c>
      <c r="E1012">
        <v>10</v>
      </c>
      <c r="F1012">
        <v>20</v>
      </c>
      <c r="G1012">
        <v>-10</v>
      </c>
      <c r="H1012">
        <v>0</v>
      </c>
      <c r="I1012" t="s">
        <v>81</v>
      </c>
    </row>
    <row r="1013" spans="1:9">
      <c r="A1013" t="s">
        <v>31</v>
      </c>
      <c r="B1013" t="s">
        <v>27</v>
      </c>
      <c r="C1013">
        <v>2022</v>
      </c>
      <c r="D1013" t="s">
        <v>57</v>
      </c>
      <c r="E1013">
        <v>1</v>
      </c>
      <c r="F1013">
        <v>1</v>
      </c>
      <c r="G1013">
        <v>0</v>
      </c>
      <c r="H1013">
        <v>26</v>
      </c>
      <c r="I1013" t="s">
        <v>12</v>
      </c>
    </row>
    <row r="1014" spans="1:9">
      <c r="A1014" t="s">
        <v>32</v>
      </c>
      <c r="B1014" t="s">
        <v>33</v>
      </c>
      <c r="C1014">
        <v>2022</v>
      </c>
      <c r="D1014" t="s">
        <v>57</v>
      </c>
      <c r="E1014">
        <v>13</v>
      </c>
      <c r="F1014">
        <v>15</v>
      </c>
      <c r="G1014">
        <v>-2</v>
      </c>
      <c r="H1014">
        <v>0</v>
      </c>
      <c r="I1014" t="s">
        <v>12</v>
      </c>
    </row>
    <row r="1015" spans="1:9">
      <c r="A1015" t="s">
        <v>34</v>
      </c>
      <c r="B1015" t="s">
        <v>10</v>
      </c>
      <c r="C1015">
        <v>2022</v>
      </c>
      <c r="D1015" t="s">
        <v>57</v>
      </c>
      <c r="E1015">
        <v>9</v>
      </c>
      <c r="F1015">
        <v>4</v>
      </c>
      <c r="G1015">
        <v>5</v>
      </c>
      <c r="H1015">
        <v>12</v>
      </c>
      <c r="I1015" t="s">
        <v>12</v>
      </c>
    </row>
    <row r="1016" spans="1:9">
      <c r="A1016" t="s">
        <v>35</v>
      </c>
      <c r="B1016" t="s">
        <v>36</v>
      </c>
      <c r="C1016">
        <v>2022</v>
      </c>
      <c r="D1016" t="s">
        <v>57</v>
      </c>
      <c r="E1016">
        <v>14</v>
      </c>
      <c r="F1016">
        <v>13</v>
      </c>
      <c r="G1016">
        <v>1</v>
      </c>
      <c r="H1016">
        <v>0</v>
      </c>
      <c r="I1016" t="s">
        <v>12</v>
      </c>
    </row>
    <row r="1017" spans="1:9">
      <c r="A1017" t="s">
        <v>101</v>
      </c>
      <c r="B1017" t="s">
        <v>36</v>
      </c>
      <c r="C1017">
        <v>2022</v>
      </c>
      <c r="D1017" t="s">
        <v>57</v>
      </c>
      <c r="E1017">
        <v>20</v>
      </c>
      <c r="F1017">
        <v>16</v>
      </c>
      <c r="G1017">
        <v>4</v>
      </c>
      <c r="H1017">
        <v>0</v>
      </c>
      <c r="I1017" t="s">
        <v>12</v>
      </c>
    </row>
    <row r="1018" spans="1:9">
      <c r="A1018" t="s">
        <v>37</v>
      </c>
      <c r="B1018" t="s">
        <v>86</v>
      </c>
      <c r="C1018">
        <v>2022</v>
      </c>
      <c r="D1018" t="s">
        <v>57</v>
      </c>
      <c r="E1018">
        <v>16</v>
      </c>
      <c r="F1018">
        <v>8</v>
      </c>
      <c r="G1018">
        <v>8</v>
      </c>
      <c r="H1018">
        <v>4</v>
      </c>
      <c r="I1018" t="s">
        <v>12</v>
      </c>
    </row>
    <row r="1019" spans="1:9">
      <c r="A1019" t="s">
        <v>102</v>
      </c>
      <c r="B1019" t="s">
        <v>16</v>
      </c>
      <c r="C1019">
        <v>2022</v>
      </c>
      <c r="D1019" t="s">
        <v>57</v>
      </c>
      <c r="E1019">
        <v>12</v>
      </c>
      <c r="F1019">
        <v>11</v>
      </c>
      <c r="G1019">
        <v>1</v>
      </c>
      <c r="H1019">
        <v>0</v>
      </c>
      <c r="I1019" t="s">
        <v>12</v>
      </c>
    </row>
    <row r="1020" spans="1:9">
      <c r="A1020" t="s">
        <v>39</v>
      </c>
      <c r="B1020" t="s">
        <v>87</v>
      </c>
      <c r="C1020">
        <v>2022</v>
      </c>
      <c r="D1020" t="s">
        <v>57</v>
      </c>
      <c r="E1020">
        <v>15</v>
      </c>
      <c r="F1020">
        <v>10</v>
      </c>
      <c r="G1020">
        <v>5</v>
      </c>
      <c r="H1020">
        <v>1</v>
      </c>
      <c r="I1020" t="s">
        <v>12</v>
      </c>
    </row>
    <row r="1021" spans="1:9">
      <c r="A1021" t="s">
        <v>9</v>
      </c>
      <c r="B1021" t="s">
        <v>10</v>
      </c>
      <c r="C1021">
        <v>2022</v>
      </c>
      <c r="D1021" t="s">
        <v>58</v>
      </c>
      <c r="E1021">
        <v>4</v>
      </c>
      <c r="F1021">
        <v>20</v>
      </c>
      <c r="G1021">
        <v>-16</v>
      </c>
      <c r="H1021">
        <v>0</v>
      </c>
      <c r="I1021" t="s">
        <v>22</v>
      </c>
    </row>
    <row r="1022" spans="1:9">
      <c r="A1022" t="s">
        <v>13</v>
      </c>
      <c r="B1022" t="s">
        <v>30</v>
      </c>
      <c r="C1022">
        <v>2022</v>
      </c>
      <c r="D1022" t="s">
        <v>58</v>
      </c>
      <c r="E1022">
        <v>3</v>
      </c>
      <c r="F1022">
        <v>5</v>
      </c>
      <c r="G1022">
        <v>-2</v>
      </c>
      <c r="H1022">
        <v>10</v>
      </c>
      <c r="I1022" t="s">
        <v>12</v>
      </c>
    </row>
    <row r="1023" spans="1:9">
      <c r="A1023" t="s">
        <v>100</v>
      </c>
      <c r="B1023" t="s">
        <v>14</v>
      </c>
      <c r="C1023">
        <v>2022</v>
      </c>
      <c r="D1023" t="s">
        <v>58</v>
      </c>
      <c r="E1023">
        <v>10</v>
      </c>
      <c r="F1023">
        <v>8</v>
      </c>
      <c r="G1023">
        <v>2</v>
      </c>
      <c r="H1023">
        <v>4</v>
      </c>
      <c r="I1023" t="s">
        <v>12</v>
      </c>
    </row>
    <row r="1024" spans="1:9">
      <c r="A1024" t="s">
        <v>17</v>
      </c>
      <c r="B1024" t="s">
        <v>18</v>
      </c>
      <c r="C1024">
        <v>2022</v>
      </c>
      <c r="D1024" t="s">
        <v>58</v>
      </c>
      <c r="E1024">
        <v>2</v>
      </c>
      <c r="F1024">
        <v>2</v>
      </c>
      <c r="G1024">
        <v>0</v>
      </c>
      <c r="H1024">
        <v>18</v>
      </c>
      <c r="I1024" t="s">
        <v>12</v>
      </c>
    </row>
    <row r="1025" spans="1:9">
      <c r="A1025" t="s">
        <v>46</v>
      </c>
      <c r="B1025" t="s">
        <v>33</v>
      </c>
      <c r="C1025">
        <v>2022</v>
      </c>
      <c r="D1025" t="s">
        <v>58</v>
      </c>
      <c r="E1025">
        <v>7</v>
      </c>
      <c r="F1025">
        <v>15</v>
      </c>
      <c r="G1025">
        <v>-8</v>
      </c>
      <c r="H1025">
        <v>0</v>
      </c>
      <c r="I1025" t="s">
        <v>12</v>
      </c>
    </row>
    <row r="1026" spans="1:9">
      <c r="A1026" t="s">
        <v>20</v>
      </c>
      <c r="B1026" t="s">
        <v>87</v>
      </c>
      <c r="C1026">
        <v>2022</v>
      </c>
      <c r="D1026" t="s">
        <v>58</v>
      </c>
      <c r="E1026">
        <v>13</v>
      </c>
      <c r="F1026">
        <v>19</v>
      </c>
      <c r="G1026">
        <v>-6</v>
      </c>
      <c r="H1026">
        <v>0</v>
      </c>
      <c r="I1026" t="s">
        <v>49</v>
      </c>
    </row>
    <row r="1027" spans="1:9">
      <c r="A1027" t="s">
        <v>23</v>
      </c>
      <c r="B1027" t="s">
        <v>16</v>
      </c>
      <c r="C1027">
        <v>2022</v>
      </c>
      <c r="D1027" t="s">
        <v>58</v>
      </c>
      <c r="E1027">
        <v>12</v>
      </c>
      <c r="F1027">
        <v>16</v>
      </c>
      <c r="G1027">
        <v>-4</v>
      </c>
      <c r="H1027">
        <v>0</v>
      </c>
      <c r="I1027" t="s">
        <v>24</v>
      </c>
    </row>
    <row r="1028" spans="1:9">
      <c r="A1028" t="s">
        <v>25</v>
      </c>
      <c r="B1028" t="s">
        <v>18</v>
      </c>
      <c r="C1028">
        <v>2022</v>
      </c>
      <c r="D1028" t="s">
        <v>58</v>
      </c>
      <c r="E1028">
        <v>14</v>
      </c>
      <c r="F1028">
        <v>1</v>
      </c>
      <c r="G1028">
        <v>13</v>
      </c>
      <c r="H1028">
        <v>26</v>
      </c>
      <c r="I1028" t="s">
        <v>12</v>
      </c>
    </row>
    <row r="1029" spans="1:9">
      <c r="A1029" t="s">
        <v>26</v>
      </c>
      <c r="B1029" t="s">
        <v>27</v>
      </c>
      <c r="C1029">
        <v>2022</v>
      </c>
      <c r="D1029" t="s">
        <v>58</v>
      </c>
      <c r="E1029">
        <v>1</v>
      </c>
      <c r="F1029">
        <v>3</v>
      </c>
      <c r="G1029">
        <v>-2</v>
      </c>
      <c r="H1029">
        <v>15</v>
      </c>
      <c r="I1029" t="s">
        <v>12</v>
      </c>
    </row>
    <row r="1030" spans="1:9">
      <c r="A1030" t="s">
        <v>48</v>
      </c>
      <c r="B1030" t="s">
        <v>30</v>
      </c>
      <c r="C1030">
        <v>2022</v>
      </c>
      <c r="D1030" t="s">
        <v>58</v>
      </c>
      <c r="E1030">
        <v>16</v>
      </c>
      <c r="F1030">
        <v>7</v>
      </c>
      <c r="G1030">
        <v>9</v>
      </c>
      <c r="H1030">
        <v>6</v>
      </c>
      <c r="I1030" t="s">
        <v>12</v>
      </c>
    </row>
    <row r="1031" spans="1:9">
      <c r="A1031" t="s">
        <v>28</v>
      </c>
      <c r="B1031" t="s">
        <v>14</v>
      </c>
      <c r="C1031">
        <v>2022</v>
      </c>
      <c r="D1031" t="s">
        <v>58</v>
      </c>
      <c r="E1031">
        <v>9</v>
      </c>
      <c r="F1031">
        <v>11</v>
      </c>
      <c r="G1031">
        <v>-2</v>
      </c>
      <c r="H1031">
        <v>0</v>
      </c>
      <c r="I1031" t="s">
        <v>12</v>
      </c>
    </row>
    <row r="1032" spans="1:9">
      <c r="A1032" t="s">
        <v>29</v>
      </c>
      <c r="B1032" t="s">
        <v>86</v>
      </c>
      <c r="C1032">
        <v>2022</v>
      </c>
      <c r="D1032" t="s">
        <v>58</v>
      </c>
      <c r="E1032">
        <v>0</v>
      </c>
      <c r="F1032">
        <v>9</v>
      </c>
      <c r="G1032">
        <v>-9</v>
      </c>
      <c r="H1032">
        <v>2</v>
      </c>
      <c r="I1032" t="s">
        <v>12</v>
      </c>
    </row>
    <row r="1033" spans="1:9">
      <c r="A1033" t="s">
        <v>31</v>
      </c>
      <c r="B1033" t="s">
        <v>27</v>
      </c>
      <c r="C1033">
        <v>2022</v>
      </c>
      <c r="D1033" t="s">
        <v>58</v>
      </c>
      <c r="E1033">
        <v>15</v>
      </c>
      <c r="F1033">
        <v>6</v>
      </c>
      <c r="G1033">
        <v>9</v>
      </c>
      <c r="H1033">
        <v>8</v>
      </c>
      <c r="I1033" t="s">
        <v>12</v>
      </c>
    </row>
    <row r="1034" spans="1:9">
      <c r="A1034" t="s">
        <v>32</v>
      </c>
      <c r="B1034" t="s">
        <v>33</v>
      </c>
      <c r="C1034">
        <v>2022</v>
      </c>
      <c r="D1034" t="s">
        <v>58</v>
      </c>
      <c r="E1034">
        <v>17</v>
      </c>
      <c r="F1034">
        <v>12</v>
      </c>
      <c r="G1034">
        <v>5</v>
      </c>
      <c r="H1034">
        <v>0</v>
      </c>
      <c r="I1034" t="s">
        <v>12</v>
      </c>
    </row>
    <row r="1035" spans="1:9">
      <c r="A1035" t="s">
        <v>34</v>
      </c>
      <c r="B1035" t="s">
        <v>10</v>
      </c>
      <c r="C1035">
        <v>2022</v>
      </c>
      <c r="D1035" t="s">
        <v>58</v>
      </c>
      <c r="E1035">
        <v>5</v>
      </c>
      <c r="F1035">
        <v>4</v>
      </c>
      <c r="G1035">
        <v>1</v>
      </c>
      <c r="H1035">
        <v>12</v>
      </c>
      <c r="I1035" t="s">
        <v>12</v>
      </c>
    </row>
    <row r="1036" spans="1:9">
      <c r="A1036" t="s">
        <v>35</v>
      </c>
      <c r="B1036" t="s">
        <v>36</v>
      </c>
      <c r="C1036">
        <v>2022</v>
      </c>
      <c r="D1036" t="s">
        <v>58</v>
      </c>
      <c r="E1036">
        <v>6</v>
      </c>
      <c r="F1036">
        <v>10</v>
      </c>
      <c r="G1036">
        <v>-4</v>
      </c>
      <c r="H1036">
        <v>1</v>
      </c>
      <c r="I1036" t="s">
        <v>12</v>
      </c>
    </row>
    <row r="1037" spans="1:9">
      <c r="A1037" t="s">
        <v>101</v>
      </c>
      <c r="B1037" t="s">
        <v>36</v>
      </c>
      <c r="C1037">
        <v>2022</v>
      </c>
      <c r="D1037" t="s">
        <v>58</v>
      </c>
      <c r="E1037">
        <v>11</v>
      </c>
      <c r="F1037">
        <v>18</v>
      </c>
      <c r="G1037">
        <v>-7</v>
      </c>
      <c r="H1037">
        <v>0</v>
      </c>
      <c r="I1037" t="s">
        <v>24</v>
      </c>
    </row>
    <row r="1038" spans="1:9">
      <c r="A1038" t="s">
        <v>37</v>
      </c>
      <c r="B1038" t="s">
        <v>86</v>
      </c>
      <c r="C1038">
        <v>2022</v>
      </c>
      <c r="D1038" t="s">
        <v>58</v>
      </c>
      <c r="E1038">
        <v>0</v>
      </c>
      <c r="F1038">
        <v>13</v>
      </c>
      <c r="G1038">
        <v>-13</v>
      </c>
      <c r="H1038">
        <v>0</v>
      </c>
      <c r="I1038" t="s">
        <v>12</v>
      </c>
    </row>
    <row r="1039" spans="1:9">
      <c r="A1039" t="s">
        <v>102</v>
      </c>
      <c r="B1039" t="s">
        <v>16</v>
      </c>
      <c r="C1039">
        <v>2022</v>
      </c>
      <c r="D1039" t="s">
        <v>58</v>
      </c>
      <c r="E1039">
        <v>19</v>
      </c>
      <c r="F1039">
        <v>17</v>
      </c>
      <c r="G1039">
        <v>2</v>
      </c>
      <c r="H1039">
        <v>0</v>
      </c>
      <c r="I1039" t="s">
        <v>24</v>
      </c>
    </row>
    <row r="1040" spans="1:9">
      <c r="A1040" t="s">
        <v>39</v>
      </c>
      <c r="B1040" t="s">
        <v>87</v>
      </c>
      <c r="C1040">
        <v>2022</v>
      </c>
      <c r="D1040" t="s">
        <v>58</v>
      </c>
      <c r="E1040">
        <v>18</v>
      </c>
      <c r="F1040">
        <v>14</v>
      </c>
      <c r="G1040">
        <v>4</v>
      </c>
      <c r="H1040">
        <v>0</v>
      </c>
      <c r="I1040" t="s">
        <v>12</v>
      </c>
    </row>
    <row r="1041" spans="1:9">
      <c r="A1041" t="s">
        <v>9</v>
      </c>
      <c r="B1041" t="s">
        <v>10</v>
      </c>
      <c r="C1041">
        <v>2022</v>
      </c>
      <c r="D1041" t="s">
        <v>60</v>
      </c>
      <c r="E1041">
        <v>5</v>
      </c>
      <c r="F1041">
        <v>3</v>
      </c>
      <c r="G1041">
        <v>2</v>
      </c>
      <c r="H1041">
        <v>16</v>
      </c>
      <c r="I1041" t="s">
        <v>12</v>
      </c>
    </row>
    <row r="1042" spans="1:9">
      <c r="A1042" t="s">
        <v>13</v>
      </c>
      <c r="B1042" t="s">
        <v>30</v>
      </c>
      <c r="C1042">
        <v>2022</v>
      </c>
      <c r="D1042" t="s">
        <v>60</v>
      </c>
      <c r="E1042">
        <v>7</v>
      </c>
      <c r="F1042">
        <v>5</v>
      </c>
      <c r="G1042">
        <v>2</v>
      </c>
      <c r="H1042">
        <v>10</v>
      </c>
      <c r="I1042" t="s">
        <v>12</v>
      </c>
    </row>
    <row r="1043" spans="1:9">
      <c r="A1043" t="s">
        <v>100</v>
      </c>
      <c r="B1043" t="s">
        <v>14</v>
      </c>
      <c r="C1043">
        <v>2022</v>
      </c>
      <c r="D1043" t="s">
        <v>60</v>
      </c>
      <c r="E1043">
        <v>18</v>
      </c>
      <c r="F1043">
        <v>9</v>
      </c>
      <c r="G1043">
        <v>9</v>
      </c>
      <c r="H1043">
        <v>2</v>
      </c>
      <c r="I1043" t="s">
        <v>12</v>
      </c>
    </row>
    <row r="1044" spans="1:9">
      <c r="A1044" t="s">
        <v>17</v>
      </c>
      <c r="B1044" t="s">
        <v>18</v>
      </c>
      <c r="C1044">
        <v>2022</v>
      </c>
      <c r="D1044" t="s">
        <v>60</v>
      </c>
      <c r="E1044">
        <v>4</v>
      </c>
      <c r="F1044">
        <v>2</v>
      </c>
      <c r="G1044">
        <v>2</v>
      </c>
      <c r="H1044">
        <v>18</v>
      </c>
      <c r="I1044" t="s">
        <v>12</v>
      </c>
    </row>
    <row r="1045" spans="1:9">
      <c r="A1045" t="s">
        <v>46</v>
      </c>
      <c r="B1045" t="s">
        <v>33</v>
      </c>
      <c r="C1045">
        <v>2022</v>
      </c>
      <c r="D1045" t="s">
        <v>60</v>
      </c>
      <c r="E1045">
        <v>14</v>
      </c>
      <c r="F1045">
        <v>13</v>
      </c>
      <c r="G1045">
        <v>1</v>
      </c>
      <c r="H1045">
        <v>0</v>
      </c>
      <c r="I1045" t="s">
        <v>12</v>
      </c>
    </row>
    <row r="1046" spans="1:9">
      <c r="A1046" t="s">
        <v>20</v>
      </c>
      <c r="B1046" t="s">
        <v>87</v>
      </c>
      <c r="C1046">
        <v>2022</v>
      </c>
      <c r="D1046" t="s">
        <v>60</v>
      </c>
      <c r="E1046">
        <v>12</v>
      </c>
      <c r="F1046">
        <v>17</v>
      </c>
      <c r="G1046">
        <v>-5</v>
      </c>
      <c r="H1046">
        <v>0</v>
      </c>
      <c r="I1046" t="s">
        <v>61</v>
      </c>
    </row>
    <row r="1047" spans="1:9">
      <c r="A1047" t="s">
        <v>23</v>
      </c>
      <c r="B1047" t="s">
        <v>16</v>
      </c>
      <c r="C1047">
        <v>2022</v>
      </c>
      <c r="D1047" t="s">
        <v>60</v>
      </c>
      <c r="E1047">
        <v>17</v>
      </c>
      <c r="F1047">
        <v>10</v>
      </c>
      <c r="G1047">
        <v>7</v>
      </c>
      <c r="H1047">
        <v>1</v>
      </c>
      <c r="I1047" t="s">
        <v>12</v>
      </c>
    </row>
    <row r="1048" spans="1:9">
      <c r="A1048" t="s">
        <v>25</v>
      </c>
      <c r="B1048" t="s">
        <v>18</v>
      </c>
      <c r="C1048">
        <v>2022</v>
      </c>
      <c r="D1048" t="s">
        <v>60</v>
      </c>
      <c r="E1048">
        <v>2</v>
      </c>
      <c r="F1048">
        <v>7</v>
      </c>
      <c r="G1048">
        <v>-5</v>
      </c>
      <c r="H1048">
        <v>6</v>
      </c>
      <c r="I1048" t="s">
        <v>12</v>
      </c>
    </row>
    <row r="1049" spans="1:9">
      <c r="A1049" t="s">
        <v>26</v>
      </c>
      <c r="B1049" t="s">
        <v>27</v>
      </c>
      <c r="C1049">
        <v>2022</v>
      </c>
      <c r="D1049" t="s">
        <v>60</v>
      </c>
      <c r="E1049">
        <v>1</v>
      </c>
      <c r="F1049">
        <v>1</v>
      </c>
      <c r="G1049">
        <v>0</v>
      </c>
      <c r="H1049">
        <v>25</v>
      </c>
      <c r="I1049" t="s">
        <v>12</v>
      </c>
    </row>
    <row r="1050" spans="1:9">
      <c r="A1050" t="s">
        <v>48</v>
      </c>
      <c r="B1050" t="s">
        <v>30</v>
      </c>
      <c r="C1050">
        <v>2022</v>
      </c>
      <c r="D1050" t="s">
        <v>60</v>
      </c>
      <c r="E1050">
        <v>15</v>
      </c>
      <c r="F1050">
        <v>15</v>
      </c>
      <c r="G1050">
        <v>0</v>
      </c>
      <c r="H1050">
        <v>0</v>
      </c>
      <c r="I1050" t="s">
        <v>105</v>
      </c>
    </row>
    <row r="1051" spans="1:9">
      <c r="A1051" t="s">
        <v>28</v>
      </c>
      <c r="B1051" t="s">
        <v>14</v>
      </c>
      <c r="C1051">
        <v>2022</v>
      </c>
      <c r="D1051" t="s">
        <v>60</v>
      </c>
      <c r="E1051">
        <v>20</v>
      </c>
      <c r="F1051">
        <v>11</v>
      </c>
      <c r="G1051">
        <v>9</v>
      </c>
      <c r="H1051">
        <v>0</v>
      </c>
      <c r="I1051" t="s">
        <v>12</v>
      </c>
    </row>
    <row r="1052" spans="1:9">
      <c r="A1052" t="s">
        <v>29</v>
      </c>
      <c r="B1052" t="s">
        <v>86</v>
      </c>
      <c r="C1052">
        <v>2022</v>
      </c>
      <c r="D1052" t="s">
        <v>60</v>
      </c>
      <c r="E1052">
        <v>11</v>
      </c>
      <c r="F1052">
        <v>16</v>
      </c>
      <c r="G1052">
        <v>-5</v>
      </c>
      <c r="H1052">
        <v>0</v>
      </c>
      <c r="I1052" t="s">
        <v>22</v>
      </c>
    </row>
    <row r="1053" spans="1:9">
      <c r="A1053" t="s">
        <v>31</v>
      </c>
      <c r="B1053" t="s">
        <v>27</v>
      </c>
      <c r="C1053">
        <v>2022</v>
      </c>
      <c r="D1053" t="s">
        <v>60</v>
      </c>
      <c r="E1053">
        <v>3</v>
      </c>
      <c r="F1053">
        <v>4</v>
      </c>
      <c r="G1053">
        <v>-1</v>
      </c>
      <c r="H1053">
        <v>12</v>
      </c>
      <c r="I1053" t="s">
        <v>12</v>
      </c>
    </row>
    <row r="1054" spans="1:9">
      <c r="A1054" t="s">
        <v>32</v>
      </c>
      <c r="B1054" t="s">
        <v>33</v>
      </c>
      <c r="C1054">
        <v>2022</v>
      </c>
      <c r="D1054" t="s">
        <v>60</v>
      </c>
      <c r="E1054">
        <v>6</v>
      </c>
      <c r="F1054">
        <v>6</v>
      </c>
      <c r="G1054">
        <v>0</v>
      </c>
      <c r="H1054">
        <v>8</v>
      </c>
      <c r="I1054" t="s">
        <v>12</v>
      </c>
    </row>
    <row r="1055" spans="1:9">
      <c r="A1055" t="s">
        <v>34</v>
      </c>
      <c r="B1055" t="s">
        <v>10</v>
      </c>
      <c r="C1055">
        <v>2022</v>
      </c>
      <c r="D1055" t="s">
        <v>60</v>
      </c>
      <c r="E1055">
        <v>8</v>
      </c>
      <c r="F1055">
        <v>18</v>
      </c>
      <c r="G1055">
        <v>-10</v>
      </c>
      <c r="H1055">
        <v>0</v>
      </c>
      <c r="I1055" t="s">
        <v>19</v>
      </c>
    </row>
    <row r="1056" spans="1:9">
      <c r="A1056" t="s">
        <v>35</v>
      </c>
      <c r="B1056" t="s">
        <v>36</v>
      </c>
      <c r="C1056">
        <v>2022</v>
      </c>
      <c r="D1056" t="s">
        <v>60</v>
      </c>
      <c r="E1056">
        <v>16</v>
      </c>
      <c r="F1056">
        <v>20</v>
      </c>
      <c r="G1056">
        <v>-4</v>
      </c>
      <c r="H1056">
        <v>0</v>
      </c>
      <c r="I1056" t="s">
        <v>19</v>
      </c>
    </row>
    <row r="1057" spans="1:9">
      <c r="A1057" t="s">
        <v>101</v>
      </c>
      <c r="B1057" t="s">
        <v>36</v>
      </c>
      <c r="C1057">
        <v>2022</v>
      </c>
      <c r="D1057" t="s">
        <v>60</v>
      </c>
      <c r="E1057">
        <v>10</v>
      </c>
      <c r="F1057">
        <v>12</v>
      </c>
      <c r="G1057">
        <v>-2</v>
      </c>
      <c r="H1057">
        <v>0</v>
      </c>
      <c r="I1057" t="s">
        <v>12</v>
      </c>
    </row>
    <row r="1058" spans="1:9">
      <c r="A1058" t="s">
        <v>37</v>
      </c>
      <c r="B1058" t="s">
        <v>86</v>
      </c>
      <c r="C1058">
        <v>2022</v>
      </c>
      <c r="D1058" t="s">
        <v>60</v>
      </c>
      <c r="E1058">
        <v>13</v>
      </c>
      <c r="F1058">
        <v>14</v>
      </c>
      <c r="G1058">
        <v>-1</v>
      </c>
      <c r="H1058">
        <v>0</v>
      </c>
      <c r="I1058" t="s">
        <v>12</v>
      </c>
    </row>
    <row r="1059" spans="1:9">
      <c r="A1059" t="s">
        <v>102</v>
      </c>
      <c r="B1059" t="s">
        <v>16</v>
      </c>
      <c r="C1059">
        <v>2022</v>
      </c>
      <c r="D1059" t="s">
        <v>60</v>
      </c>
      <c r="E1059">
        <v>19</v>
      </c>
      <c r="F1059">
        <v>8</v>
      </c>
      <c r="G1059">
        <v>11</v>
      </c>
      <c r="H1059">
        <v>4</v>
      </c>
      <c r="I1059" t="s">
        <v>12</v>
      </c>
    </row>
    <row r="1060" spans="1:9">
      <c r="A1060" t="s">
        <v>39</v>
      </c>
      <c r="B1060" t="s">
        <v>87</v>
      </c>
      <c r="C1060">
        <v>2022</v>
      </c>
      <c r="D1060" t="s">
        <v>60</v>
      </c>
      <c r="E1060">
        <v>9</v>
      </c>
      <c r="F1060">
        <v>19</v>
      </c>
      <c r="G1060">
        <v>-10</v>
      </c>
      <c r="H1060">
        <v>0</v>
      </c>
      <c r="I1060" t="s">
        <v>19</v>
      </c>
    </row>
    <row r="1061" spans="1:9">
      <c r="A1061" t="s">
        <v>9</v>
      </c>
      <c r="B1061" t="s">
        <v>10</v>
      </c>
      <c r="C1061">
        <v>2022</v>
      </c>
      <c r="D1061" t="s">
        <v>63</v>
      </c>
      <c r="E1061">
        <v>4</v>
      </c>
      <c r="F1061">
        <v>3</v>
      </c>
      <c r="G1061">
        <v>1</v>
      </c>
      <c r="H1061">
        <v>15</v>
      </c>
      <c r="I1061" t="s">
        <v>12</v>
      </c>
    </row>
    <row r="1062" spans="1:9">
      <c r="A1062" t="s">
        <v>13</v>
      </c>
      <c r="B1062" t="s">
        <v>30</v>
      </c>
      <c r="C1062">
        <v>2022</v>
      </c>
      <c r="D1062" t="s">
        <v>63</v>
      </c>
      <c r="E1062">
        <v>2</v>
      </c>
      <c r="F1062">
        <v>9</v>
      </c>
      <c r="G1062">
        <v>-7</v>
      </c>
      <c r="H1062">
        <v>2</v>
      </c>
      <c r="I1062" t="s">
        <v>12</v>
      </c>
    </row>
    <row r="1063" spans="1:9">
      <c r="A1063" t="s">
        <v>100</v>
      </c>
      <c r="B1063" t="s">
        <v>14</v>
      </c>
      <c r="C1063">
        <v>2022</v>
      </c>
      <c r="D1063" t="s">
        <v>63</v>
      </c>
      <c r="E1063">
        <v>16</v>
      </c>
      <c r="F1063">
        <v>12</v>
      </c>
      <c r="G1063">
        <v>4</v>
      </c>
      <c r="H1063">
        <v>0</v>
      </c>
      <c r="I1063" t="s">
        <v>12</v>
      </c>
    </row>
    <row r="1064" spans="1:9">
      <c r="A1064" t="s">
        <v>17</v>
      </c>
      <c r="B1064" t="s">
        <v>18</v>
      </c>
      <c r="C1064">
        <v>2022</v>
      </c>
      <c r="D1064" t="s">
        <v>63</v>
      </c>
      <c r="E1064">
        <v>13</v>
      </c>
      <c r="F1064">
        <v>20</v>
      </c>
      <c r="G1064">
        <v>-7</v>
      </c>
      <c r="H1064">
        <v>0</v>
      </c>
      <c r="I1064" t="s">
        <v>61</v>
      </c>
    </row>
    <row r="1065" spans="1:9">
      <c r="A1065" t="s">
        <v>46</v>
      </c>
      <c r="B1065" t="s">
        <v>33</v>
      </c>
      <c r="C1065">
        <v>2022</v>
      </c>
      <c r="D1065" t="s">
        <v>63</v>
      </c>
      <c r="E1065">
        <v>9</v>
      </c>
      <c r="F1065">
        <v>11</v>
      </c>
      <c r="G1065">
        <v>-2</v>
      </c>
      <c r="H1065">
        <v>0</v>
      </c>
      <c r="I1065" t="s">
        <v>12</v>
      </c>
    </row>
    <row r="1066" spans="1:9">
      <c r="A1066" t="s">
        <v>20</v>
      </c>
      <c r="B1066" t="s">
        <v>87</v>
      </c>
      <c r="C1066">
        <v>2022</v>
      </c>
      <c r="D1066" t="s">
        <v>63</v>
      </c>
      <c r="E1066">
        <v>11</v>
      </c>
      <c r="F1066">
        <v>7</v>
      </c>
      <c r="G1066">
        <v>4</v>
      </c>
      <c r="H1066">
        <v>6</v>
      </c>
      <c r="I1066" t="s">
        <v>12</v>
      </c>
    </row>
    <row r="1067" spans="1:9">
      <c r="A1067" t="s">
        <v>23</v>
      </c>
      <c r="B1067" t="s">
        <v>16</v>
      </c>
      <c r="C1067">
        <v>2022</v>
      </c>
      <c r="D1067" t="s">
        <v>63</v>
      </c>
      <c r="E1067">
        <v>5</v>
      </c>
      <c r="F1067">
        <v>17</v>
      </c>
      <c r="G1067">
        <v>-12</v>
      </c>
      <c r="H1067">
        <v>0</v>
      </c>
      <c r="I1067" t="s">
        <v>12</v>
      </c>
    </row>
    <row r="1068" spans="1:9">
      <c r="A1068" t="s">
        <v>25</v>
      </c>
      <c r="B1068" t="s">
        <v>18</v>
      </c>
      <c r="C1068">
        <v>2022</v>
      </c>
      <c r="D1068" t="s">
        <v>63</v>
      </c>
      <c r="E1068">
        <v>1</v>
      </c>
      <c r="F1068">
        <v>1</v>
      </c>
      <c r="G1068">
        <v>0</v>
      </c>
      <c r="H1068">
        <v>25</v>
      </c>
      <c r="I1068" t="s">
        <v>12</v>
      </c>
    </row>
    <row r="1069" spans="1:9">
      <c r="A1069" t="s">
        <v>26</v>
      </c>
      <c r="B1069" t="s">
        <v>27</v>
      </c>
      <c r="C1069">
        <v>2022</v>
      </c>
      <c r="D1069" t="s">
        <v>63</v>
      </c>
      <c r="E1069">
        <v>3</v>
      </c>
      <c r="F1069">
        <v>2</v>
      </c>
      <c r="G1069">
        <v>1</v>
      </c>
      <c r="H1069">
        <v>19</v>
      </c>
      <c r="I1069" t="s">
        <v>12</v>
      </c>
    </row>
    <row r="1070" spans="1:9">
      <c r="A1070" t="s">
        <v>48</v>
      </c>
      <c r="B1070" t="s">
        <v>30</v>
      </c>
      <c r="C1070">
        <v>2022</v>
      </c>
      <c r="D1070" t="s">
        <v>63</v>
      </c>
      <c r="E1070">
        <v>7</v>
      </c>
      <c r="F1070">
        <v>6</v>
      </c>
      <c r="G1070">
        <v>1</v>
      </c>
      <c r="H1070">
        <v>8</v>
      </c>
      <c r="I1070" t="s">
        <v>12</v>
      </c>
    </row>
    <row r="1071" spans="1:9">
      <c r="A1071" t="s">
        <v>28</v>
      </c>
      <c r="B1071" t="s">
        <v>14</v>
      </c>
      <c r="C1071">
        <v>2022</v>
      </c>
      <c r="D1071" t="s">
        <v>63</v>
      </c>
      <c r="E1071">
        <v>17</v>
      </c>
      <c r="F1071">
        <v>10</v>
      </c>
      <c r="G1071">
        <v>7</v>
      </c>
      <c r="H1071">
        <v>1</v>
      </c>
      <c r="I1071" t="s">
        <v>12</v>
      </c>
    </row>
    <row r="1072" spans="1:9">
      <c r="A1072" t="s">
        <v>29</v>
      </c>
      <c r="B1072" t="s">
        <v>86</v>
      </c>
      <c r="C1072">
        <v>2022</v>
      </c>
      <c r="D1072" t="s">
        <v>63</v>
      </c>
      <c r="E1072">
        <v>15</v>
      </c>
      <c r="F1072">
        <v>14</v>
      </c>
      <c r="G1072">
        <v>1</v>
      </c>
      <c r="H1072">
        <v>0</v>
      </c>
      <c r="I1072" t="s">
        <v>12</v>
      </c>
    </row>
    <row r="1073" spans="1:9">
      <c r="A1073" t="s">
        <v>31</v>
      </c>
      <c r="B1073" t="s">
        <v>27</v>
      </c>
      <c r="C1073">
        <v>2022</v>
      </c>
      <c r="D1073" t="s">
        <v>63</v>
      </c>
      <c r="E1073">
        <v>19</v>
      </c>
      <c r="F1073">
        <v>5</v>
      </c>
      <c r="G1073">
        <v>14</v>
      </c>
      <c r="H1073">
        <v>10</v>
      </c>
      <c r="I1073" t="s">
        <v>12</v>
      </c>
    </row>
    <row r="1074" spans="1:9">
      <c r="A1074" t="s">
        <v>32</v>
      </c>
      <c r="B1074" t="s">
        <v>33</v>
      </c>
      <c r="C1074">
        <v>2022</v>
      </c>
      <c r="D1074" t="s">
        <v>63</v>
      </c>
      <c r="E1074">
        <v>14</v>
      </c>
      <c r="F1074">
        <v>15</v>
      </c>
      <c r="G1074">
        <v>-1</v>
      </c>
      <c r="H1074">
        <v>0</v>
      </c>
      <c r="I1074" t="s">
        <v>12</v>
      </c>
    </row>
    <row r="1075" spans="1:9">
      <c r="A1075" t="s">
        <v>34</v>
      </c>
      <c r="B1075" t="s">
        <v>10</v>
      </c>
      <c r="C1075">
        <v>2022</v>
      </c>
      <c r="D1075" t="s">
        <v>63</v>
      </c>
      <c r="E1075">
        <v>8</v>
      </c>
      <c r="F1075">
        <v>4</v>
      </c>
      <c r="G1075">
        <v>4</v>
      </c>
      <c r="H1075">
        <v>12</v>
      </c>
      <c r="I1075" t="s">
        <v>12</v>
      </c>
    </row>
    <row r="1076" spans="1:9">
      <c r="A1076" t="s">
        <v>35</v>
      </c>
      <c r="B1076" t="s">
        <v>36</v>
      </c>
      <c r="C1076">
        <v>2022</v>
      </c>
      <c r="D1076" t="s">
        <v>63</v>
      </c>
      <c r="E1076">
        <v>12</v>
      </c>
      <c r="F1076">
        <v>13</v>
      </c>
      <c r="G1076">
        <v>-1</v>
      </c>
      <c r="H1076">
        <v>0</v>
      </c>
      <c r="I1076" t="s">
        <v>12</v>
      </c>
    </row>
    <row r="1077" spans="1:9">
      <c r="A1077" t="s">
        <v>101</v>
      </c>
      <c r="B1077" t="s">
        <v>36</v>
      </c>
      <c r="C1077">
        <v>2022</v>
      </c>
      <c r="D1077" t="s">
        <v>63</v>
      </c>
      <c r="E1077">
        <v>18</v>
      </c>
      <c r="F1077">
        <v>16</v>
      </c>
      <c r="G1077">
        <v>2</v>
      </c>
      <c r="H1077">
        <v>0</v>
      </c>
      <c r="I1077" t="s">
        <v>12</v>
      </c>
    </row>
    <row r="1078" spans="1:9">
      <c r="A1078" t="s">
        <v>37</v>
      </c>
      <c r="B1078" t="s">
        <v>86</v>
      </c>
      <c r="C1078">
        <v>2022</v>
      </c>
      <c r="D1078" t="s">
        <v>63</v>
      </c>
      <c r="E1078">
        <v>20</v>
      </c>
      <c r="F1078">
        <v>18</v>
      </c>
      <c r="G1078">
        <v>2</v>
      </c>
      <c r="H1078">
        <v>0</v>
      </c>
      <c r="I1078" t="s">
        <v>49</v>
      </c>
    </row>
    <row r="1079" spans="1:9">
      <c r="A1079" t="s">
        <v>102</v>
      </c>
      <c r="B1079" t="s">
        <v>16</v>
      </c>
      <c r="C1079">
        <v>2022</v>
      </c>
      <c r="D1079" t="s">
        <v>63</v>
      </c>
      <c r="E1079">
        <v>6</v>
      </c>
      <c r="F1079">
        <v>19</v>
      </c>
      <c r="G1079">
        <v>-13</v>
      </c>
      <c r="H1079">
        <v>0</v>
      </c>
      <c r="I1079" t="s">
        <v>42</v>
      </c>
    </row>
    <row r="1080" spans="1:9">
      <c r="A1080" t="s">
        <v>39</v>
      </c>
      <c r="B1080" t="s">
        <v>87</v>
      </c>
      <c r="C1080">
        <v>2022</v>
      </c>
      <c r="D1080" t="s">
        <v>63</v>
      </c>
      <c r="E1080">
        <v>10</v>
      </c>
      <c r="F1080">
        <v>8</v>
      </c>
      <c r="G1080">
        <v>2</v>
      </c>
      <c r="H1080">
        <v>4</v>
      </c>
      <c r="I1080" t="s">
        <v>12</v>
      </c>
    </row>
    <row r="1081" spans="1:9">
      <c r="A1081" t="s">
        <v>9</v>
      </c>
      <c r="B1081" t="s">
        <v>10</v>
      </c>
      <c r="C1081">
        <v>2022</v>
      </c>
      <c r="D1081" t="s">
        <v>65</v>
      </c>
      <c r="E1081">
        <v>4</v>
      </c>
      <c r="F1081">
        <v>4</v>
      </c>
      <c r="G1081">
        <v>0</v>
      </c>
      <c r="H1081">
        <v>12</v>
      </c>
      <c r="I1081" t="s">
        <v>12</v>
      </c>
    </row>
    <row r="1082" spans="1:9">
      <c r="A1082" t="s">
        <v>13</v>
      </c>
      <c r="B1082" t="s">
        <v>30</v>
      </c>
      <c r="C1082">
        <v>2022</v>
      </c>
      <c r="D1082" t="s">
        <v>65</v>
      </c>
      <c r="E1082">
        <v>13</v>
      </c>
      <c r="F1082">
        <v>6</v>
      </c>
      <c r="G1082">
        <v>7</v>
      </c>
      <c r="H1082">
        <v>8</v>
      </c>
      <c r="I1082" t="s">
        <v>12</v>
      </c>
    </row>
    <row r="1083" spans="1:9">
      <c r="A1083" t="s">
        <v>100</v>
      </c>
      <c r="B1083" t="s">
        <v>14</v>
      </c>
      <c r="C1083">
        <v>2022</v>
      </c>
      <c r="D1083" t="s">
        <v>65</v>
      </c>
      <c r="E1083">
        <v>19</v>
      </c>
      <c r="F1083">
        <v>14</v>
      </c>
      <c r="G1083">
        <v>5</v>
      </c>
      <c r="H1083">
        <v>0</v>
      </c>
      <c r="I1083" t="s">
        <v>12</v>
      </c>
    </row>
    <row r="1084" spans="1:9">
      <c r="A1084" t="s">
        <v>17</v>
      </c>
      <c r="B1084" t="s">
        <v>18</v>
      </c>
      <c r="C1084">
        <v>2022</v>
      </c>
      <c r="D1084" t="s">
        <v>65</v>
      </c>
      <c r="E1084">
        <v>5</v>
      </c>
      <c r="F1084">
        <v>5</v>
      </c>
      <c r="G1084">
        <v>0</v>
      </c>
      <c r="H1084">
        <v>10</v>
      </c>
      <c r="I1084" t="s">
        <v>12</v>
      </c>
    </row>
    <row r="1085" spans="1:9">
      <c r="A1085" t="s">
        <v>46</v>
      </c>
      <c r="B1085" t="s">
        <v>33</v>
      </c>
      <c r="C1085">
        <v>2022</v>
      </c>
      <c r="D1085" t="s">
        <v>65</v>
      </c>
      <c r="E1085">
        <v>17</v>
      </c>
      <c r="F1085">
        <v>17</v>
      </c>
      <c r="G1085">
        <v>0</v>
      </c>
      <c r="H1085">
        <v>0</v>
      </c>
      <c r="I1085" t="s">
        <v>12</v>
      </c>
    </row>
    <row r="1086" spans="1:9">
      <c r="A1086" t="s">
        <v>20</v>
      </c>
      <c r="B1086" t="s">
        <v>87</v>
      </c>
      <c r="C1086">
        <v>2022</v>
      </c>
      <c r="D1086" t="s">
        <v>65</v>
      </c>
      <c r="E1086">
        <v>16</v>
      </c>
      <c r="F1086">
        <v>19</v>
      </c>
      <c r="G1086">
        <v>-3</v>
      </c>
      <c r="H1086">
        <v>0</v>
      </c>
      <c r="I1086" t="s">
        <v>42</v>
      </c>
    </row>
    <row r="1087" spans="1:9">
      <c r="A1087" t="s">
        <v>23</v>
      </c>
      <c r="B1087" t="s">
        <v>16</v>
      </c>
      <c r="C1087">
        <v>2022</v>
      </c>
      <c r="D1087" t="s">
        <v>65</v>
      </c>
      <c r="E1087">
        <v>18</v>
      </c>
      <c r="F1087">
        <v>15</v>
      </c>
      <c r="G1087">
        <v>3</v>
      </c>
      <c r="H1087">
        <v>0</v>
      </c>
      <c r="I1087" t="s">
        <v>12</v>
      </c>
    </row>
    <row r="1088" spans="1:9">
      <c r="A1088" t="s">
        <v>25</v>
      </c>
      <c r="B1088" t="s">
        <v>18</v>
      </c>
      <c r="C1088">
        <v>2022</v>
      </c>
      <c r="D1088" t="s">
        <v>65</v>
      </c>
      <c r="E1088">
        <v>1</v>
      </c>
      <c r="F1088">
        <v>1</v>
      </c>
      <c r="G1088">
        <v>0</v>
      </c>
      <c r="H1088">
        <v>26</v>
      </c>
      <c r="I1088" t="s">
        <v>12</v>
      </c>
    </row>
    <row r="1089" spans="1:9">
      <c r="A1089" t="s">
        <v>26</v>
      </c>
      <c r="B1089" t="s">
        <v>27</v>
      </c>
      <c r="C1089">
        <v>2022</v>
      </c>
      <c r="D1089" t="s">
        <v>65</v>
      </c>
      <c r="E1089">
        <v>3</v>
      </c>
      <c r="F1089">
        <v>8</v>
      </c>
      <c r="G1089">
        <v>-5</v>
      </c>
      <c r="H1089">
        <v>4</v>
      </c>
      <c r="I1089" t="s">
        <v>12</v>
      </c>
    </row>
    <row r="1090" spans="1:9">
      <c r="A1090" t="s">
        <v>48</v>
      </c>
      <c r="B1090" t="s">
        <v>30</v>
      </c>
      <c r="C1090">
        <v>2022</v>
      </c>
      <c r="D1090" t="s">
        <v>65</v>
      </c>
      <c r="E1090">
        <v>12</v>
      </c>
      <c r="F1090">
        <v>9</v>
      </c>
      <c r="G1090">
        <v>3</v>
      </c>
      <c r="H1090">
        <v>2</v>
      </c>
      <c r="I1090" t="s">
        <v>12</v>
      </c>
    </row>
    <row r="1091" spans="1:9">
      <c r="A1091" t="s">
        <v>28</v>
      </c>
      <c r="B1091" t="s">
        <v>14</v>
      </c>
      <c r="C1091">
        <v>2022</v>
      </c>
      <c r="D1091" t="s">
        <v>65</v>
      </c>
      <c r="E1091">
        <v>10</v>
      </c>
      <c r="F1091">
        <v>10</v>
      </c>
      <c r="G1091">
        <v>0</v>
      </c>
      <c r="H1091">
        <v>1</v>
      </c>
      <c r="I1091" t="s">
        <v>12</v>
      </c>
    </row>
    <row r="1092" spans="1:9">
      <c r="A1092" t="s">
        <v>29</v>
      </c>
      <c r="B1092" t="s">
        <v>86</v>
      </c>
      <c r="C1092">
        <v>2022</v>
      </c>
      <c r="D1092" t="s">
        <v>65</v>
      </c>
      <c r="E1092">
        <v>11</v>
      </c>
      <c r="F1092">
        <v>11</v>
      </c>
      <c r="G1092">
        <v>0</v>
      </c>
      <c r="H1092">
        <v>0</v>
      </c>
      <c r="I1092" t="s">
        <v>12</v>
      </c>
    </row>
    <row r="1093" spans="1:9">
      <c r="A1093" t="s">
        <v>31</v>
      </c>
      <c r="B1093" t="s">
        <v>27</v>
      </c>
      <c r="C1093">
        <v>2022</v>
      </c>
      <c r="D1093" t="s">
        <v>65</v>
      </c>
      <c r="E1093">
        <v>2</v>
      </c>
      <c r="F1093">
        <v>3</v>
      </c>
      <c r="G1093">
        <v>-1</v>
      </c>
      <c r="H1093">
        <v>15</v>
      </c>
      <c r="I1093" t="s">
        <v>12</v>
      </c>
    </row>
    <row r="1094" spans="1:9">
      <c r="A1094" t="s">
        <v>32</v>
      </c>
      <c r="B1094" t="s">
        <v>33</v>
      </c>
      <c r="C1094">
        <v>2022</v>
      </c>
      <c r="D1094" t="s">
        <v>65</v>
      </c>
      <c r="E1094">
        <v>7</v>
      </c>
      <c r="F1094">
        <v>7</v>
      </c>
      <c r="G1094">
        <v>0</v>
      </c>
      <c r="H1094">
        <v>6</v>
      </c>
      <c r="I1094" t="s">
        <v>12</v>
      </c>
    </row>
    <row r="1095" spans="1:9">
      <c r="A1095" t="s">
        <v>34</v>
      </c>
      <c r="B1095" t="s">
        <v>10</v>
      </c>
      <c r="C1095">
        <v>2022</v>
      </c>
      <c r="D1095" t="s">
        <v>65</v>
      </c>
      <c r="E1095">
        <v>6</v>
      </c>
      <c r="F1095">
        <v>2</v>
      </c>
      <c r="G1095">
        <v>4</v>
      </c>
      <c r="H1095">
        <v>18</v>
      </c>
      <c r="I1095" t="s">
        <v>12</v>
      </c>
    </row>
    <row r="1096" spans="1:9">
      <c r="A1096" t="s">
        <v>35</v>
      </c>
      <c r="B1096" t="s">
        <v>36</v>
      </c>
      <c r="C1096">
        <v>2022</v>
      </c>
      <c r="D1096" t="s">
        <v>65</v>
      </c>
      <c r="E1096">
        <v>15</v>
      </c>
      <c r="F1096">
        <v>12</v>
      </c>
      <c r="G1096">
        <v>3</v>
      </c>
      <c r="H1096">
        <v>0</v>
      </c>
      <c r="I1096" t="s">
        <v>12</v>
      </c>
    </row>
    <row r="1097" spans="1:9">
      <c r="A1097" t="s">
        <v>101</v>
      </c>
      <c r="B1097" t="s">
        <v>36</v>
      </c>
      <c r="C1097">
        <v>2022</v>
      </c>
      <c r="D1097" t="s">
        <v>65</v>
      </c>
      <c r="E1097">
        <v>20</v>
      </c>
      <c r="F1097">
        <v>18</v>
      </c>
      <c r="G1097">
        <v>2</v>
      </c>
      <c r="H1097">
        <v>0</v>
      </c>
      <c r="I1097" t="s">
        <v>24</v>
      </c>
    </row>
    <row r="1098" spans="1:9">
      <c r="A1098" t="s">
        <v>37</v>
      </c>
      <c r="B1098" t="s">
        <v>86</v>
      </c>
      <c r="C1098">
        <v>2022</v>
      </c>
      <c r="D1098" t="s">
        <v>65</v>
      </c>
      <c r="E1098">
        <v>9</v>
      </c>
      <c r="F1098">
        <v>20</v>
      </c>
      <c r="G1098">
        <v>-11</v>
      </c>
      <c r="H1098">
        <v>0</v>
      </c>
      <c r="I1098" t="s">
        <v>106</v>
      </c>
    </row>
    <row r="1099" spans="1:9">
      <c r="A1099" t="s">
        <v>102</v>
      </c>
      <c r="B1099" t="s">
        <v>16</v>
      </c>
      <c r="C1099">
        <v>2022</v>
      </c>
      <c r="D1099" t="s">
        <v>65</v>
      </c>
      <c r="E1099">
        <v>8</v>
      </c>
      <c r="F1099">
        <v>13</v>
      </c>
      <c r="G1099">
        <v>-5</v>
      </c>
      <c r="H1099">
        <v>0</v>
      </c>
      <c r="I1099" t="s">
        <v>12</v>
      </c>
    </row>
    <row r="1100" spans="1:9">
      <c r="A1100" t="s">
        <v>39</v>
      </c>
      <c r="B1100" t="s">
        <v>87</v>
      </c>
      <c r="C1100">
        <v>2022</v>
      </c>
      <c r="D1100" t="s">
        <v>65</v>
      </c>
      <c r="E1100">
        <v>14</v>
      </c>
      <c r="F1100">
        <v>16</v>
      </c>
      <c r="G1100">
        <v>-2</v>
      </c>
      <c r="H1100">
        <v>0</v>
      </c>
      <c r="I1100" t="s">
        <v>12</v>
      </c>
    </row>
    <row r="1101" spans="1:9">
      <c r="A1101" t="s">
        <v>9</v>
      </c>
      <c r="B1101" t="s">
        <v>10</v>
      </c>
      <c r="C1101">
        <v>2022</v>
      </c>
      <c r="D1101" t="s">
        <v>66</v>
      </c>
      <c r="E1101">
        <v>14</v>
      </c>
      <c r="F1101">
        <v>13</v>
      </c>
      <c r="G1101">
        <v>1</v>
      </c>
      <c r="H1101">
        <v>0</v>
      </c>
      <c r="I1101" t="s">
        <v>24</v>
      </c>
    </row>
    <row r="1102" spans="1:9">
      <c r="A1102" t="s">
        <v>13</v>
      </c>
      <c r="B1102" t="s">
        <v>30</v>
      </c>
      <c r="C1102">
        <v>2022</v>
      </c>
      <c r="D1102" t="s">
        <v>66</v>
      </c>
      <c r="E1102">
        <v>9</v>
      </c>
      <c r="F1102">
        <v>19</v>
      </c>
      <c r="G1102">
        <v>-10</v>
      </c>
      <c r="H1102">
        <v>0</v>
      </c>
      <c r="I1102" t="s">
        <v>22</v>
      </c>
    </row>
    <row r="1103" spans="1:9">
      <c r="A1103" t="s">
        <v>100</v>
      </c>
      <c r="B1103" t="s">
        <v>14</v>
      </c>
      <c r="C1103">
        <v>2022</v>
      </c>
      <c r="D1103" t="s">
        <v>66</v>
      </c>
      <c r="E1103">
        <v>13</v>
      </c>
      <c r="F1103">
        <v>8</v>
      </c>
      <c r="G1103">
        <v>5</v>
      </c>
      <c r="H1103">
        <v>4</v>
      </c>
      <c r="I1103" t="s">
        <v>12</v>
      </c>
    </row>
    <row r="1104" spans="1:9">
      <c r="A1104" t="s">
        <v>17</v>
      </c>
      <c r="B1104" t="s">
        <v>18</v>
      </c>
      <c r="C1104">
        <v>2022</v>
      </c>
      <c r="D1104" t="s">
        <v>66</v>
      </c>
      <c r="E1104">
        <v>3</v>
      </c>
      <c r="F1104">
        <v>2</v>
      </c>
      <c r="G1104">
        <v>1</v>
      </c>
      <c r="H1104">
        <v>18</v>
      </c>
      <c r="I1104" t="s">
        <v>12</v>
      </c>
    </row>
    <row r="1105" spans="1:9">
      <c r="A1105" t="s">
        <v>46</v>
      </c>
      <c r="B1105" t="s">
        <v>33</v>
      </c>
      <c r="C1105">
        <v>2022</v>
      </c>
      <c r="D1105" t="s">
        <v>66</v>
      </c>
      <c r="E1105">
        <v>6</v>
      </c>
      <c r="F1105">
        <v>18</v>
      </c>
      <c r="G1105">
        <v>-12</v>
      </c>
      <c r="H1105">
        <v>0</v>
      </c>
      <c r="I1105" t="s">
        <v>24</v>
      </c>
    </row>
    <row r="1106" spans="1:9">
      <c r="A1106" t="s">
        <v>20</v>
      </c>
      <c r="B1106" t="s">
        <v>87</v>
      </c>
      <c r="C1106">
        <v>2022</v>
      </c>
      <c r="D1106" t="s">
        <v>66</v>
      </c>
      <c r="E1106">
        <v>7</v>
      </c>
      <c r="F1106">
        <v>5</v>
      </c>
      <c r="G1106">
        <v>2</v>
      </c>
      <c r="H1106">
        <v>10</v>
      </c>
      <c r="I1106" t="s">
        <v>12</v>
      </c>
    </row>
    <row r="1107" spans="1:9">
      <c r="A1107" t="s">
        <v>23</v>
      </c>
      <c r="B1107" t="s">
        <v>16</v>
      </c>
      <c r="C1107">
        <v>2022</v>
      </c>
      <c r="D1107" t="s">
        <v>66</v>
      </c>
      <c r="E1107">
        <v>8</v>
      </c>
      <c r="F1107">
        <v>9</v>
      </c>
      <c r="G1107">
        <v>-1</v>
      </c>
      <c r="H1107">
        <v>2</v>
      </c>
      <c r="I1107" t="s">
        <v>12</v>
      </c>
    </row>
    <row r="1108" spans="1:9">
      <c r="A1108" t="s">
        <v>25</v>
      </c>
      <c r="B1108" t="s">
        <v>18</v>
      </c>
      <c r="C1108">
        <v>2022</v>
      </c>
      <c r="D1108" t="s">
        <v>66</v>
      </c>
      <c r="E1108">
        <v>1</v>
      </c>
      <c r="F1108">
        <v>1</v>
      </c>
      <c r="G1108">
        <v>0</v>
      </c>
      <c r="H1108">
        <v>26</v>
      </c>
      <c r="I1108" t="s">
        <v>12</v>
      </c>
    </row>
    <row r="1109" spans="1:9">
      <c r="A1109" t="s">
        <v>26</v>
      </c>
      <c r="B1109" t="s">
        <v>27</v>
      </c>
      <c r="C1109">
        <v>2022</v>
      </c>
      <c r="D1109" t="s">
        <v>66</v>
      </c>
      <c r="E1109">
        <v>4</v>
      </c>
      <c r="F1109">
        <v>20</v>
      </c>
      <c r="G1109">
        <v>-16</v>
      </c>
      <c r="H1109">
        <v>0</v>
      </c>
      <c r="I1109" t="s">
        <v>19</v>
      </c>
    </row>
    <row r="1110" spans="1:9">
      <c r="A1110" t="s">
        <v>48</v>
      </c>
      <c r="B1110" t="s">
        <v>30</v>
      </c>
      <c r="C1110">
        <v>2022</v>
      </c>
      <c r="D1110" t="s">
        <v>66</v>
      </c>
      <c r="E1110">
        <v>16</v>
      </c>
      <c r="F1110">
        <v>14</v>
      </c>
      <c r="G1110">
        <v>2</v>
      </c>
      <c r="H1110">
        <v>0</v>
      </c>
      <c r="I1110" t="s">
        <v>24</v>
      </c>
    </row>
    <row r="1111" spans="1:9">
      <c r="A1111" t="s">
        <v>28</v>
      </c>
      <c r="B1111" t="s">
        <v>14</v>
      </c>
      <c r="C1111">
        <v>2022</v>
      </c>
      <c r="D1111" t="s">
        <v>66</v>
      </c>
      <c r="E1111">
        <v>15</v>
      </c>
      <c r="F1111">
        <v>10</v>
      </c>
      <c r="G1111">
        <v>5</v>
      </c>
      <c r="H1111">
        <v>1</v>
      </c>
      <c r="I1111" t="s">
        <v>24</v>
      </c>
    </row>
    <row r="1112" spans="1:9">
      <c r="A1112" t="s">
        <v>29</v>
      </c>
      <c r="B1112" t="s">
        <v>86</v>
      </c>
      <c r="C1112">
        <v>2022</v>
      </c>
      <c r="D1112" t="s">
        <v>66</v>
      </c>
      <c r="E1112">
        <v>17</v>
      </c>
      <c r="F1112">
        <v>12</v>
      </c>
      <c r="G1112">
        <v>5</v>
      </c>
      <c r="H1112">
        <v>0</v>
      </c>
      <c r="I1112" t="s">
        <v>24</v>
      </c>
    </row>
    <row r="1113" spans="1:9">
      <c r="A1113" t="s">
        <v>31</v>
      </c>
      <c r="B1113" t="s">
        <v>27</v>
      </c>
      <c r="C1113">
        <v>2022</v>
      </c>
      <c r="D1113" t="s">
        <v>66</v>
      </c>
      <c r="E1113">
        <v>2</v>
      </c>
      <c r="F1113">
        <v>6</v>
      </c>
      <c r="G1113">
        <v>-4</v>
      </c>
      <c r="H1113">
        <v>8</v>
      </c>
      <c r="I1113" t="s">
        <v>12</v>
      </c>
    </row>
    <row r="1114" spans="1:9">
      <c r="A1114" t="s">
        <v>32</v>
      </c>
      <c r="B1114" t="s">
        <v>33</v>
      </c>
      <c r="C1114">
        <v>2022</v>
      </c>
      <c r="D1114" t="s">
        <v>66</v>
      </c>
      <c r="E1114">
        <v>5</v>
      </c>
      <c r="F1114">
        <v>3</v>
      </c>
      <c r="G1114">
        <v>2</v>
      </c>
      <c r="H1114">
        <v>15</v>
      </c>
      <c r="I1114" t="s">
        <v>12</v>
      </c>
    </row>
    <row r="1115" spans="1:9">
      <c r="A1115" t="s">
        <v>34</v>
      </c>
      <c r="B1115" t="s">
        <v>10</v>
      </c>
      <c r="C1115">
        <v>2022</v>
      </c>
      <c r="D1115" t="s">
        <v>66</v>
      </c>
      <c r="E1115">
        <v>11</v>
      </c>
      <c r="F1115">
        <v>4</v>
      </c>
      <c r="G1115">
        <v>7</v>
      </c>
      <c r="H1115">
        <v>12</v>
      </c>
      <c r="I1115" t="s">
        <v>12</v>
      </c>
    </row>
    <row r="1116" spans="1:9">
      <c r="A1116" t="s">
        <v>35</v>
      </c>
      <c r="B1116" t="s">
        <v>36</v>
      </c>
      <c r="C1116">
        <v>2022</v>
      </c>
      <c r="D1116" t="s">
        <v>66</v>
      </c>
      <c r="E1116">
        <v>18</v>
      </c>
      <c r="F1116">
        <v>11</v>
      </c>
      <c r="G1116">
        <v>7</v>
      </c>
      <c r="H1116">
        <v>0</v>
      </c>
      <c r="I1116" t="s">
        <v>24</v>
      </c>
    </row>
    <row r="1117" spans="1:9">
      <c r="A1117" t="s">
        <v>101</v>
      </c>
      <c r="B1117" t="s">
        <v>36</v>
      </c>
      <c r="C1117">
        <v>2022</v>
      </c>
      <c r="D1117" t="s">
        <v>66</v>
      </c>
      <c r="E1117">
        <v>19</v>
      </c>
      <c r="F1117">
        <v>16</v>
      </c>
      <c r="G1117">
        <v>3</v>
      </c>
      <c r="H1117">
        <v>0</v>
      </c>
      <c r="I1117" t="s">
        <v>24</v>
      </c>
    </row>
    <row r="1118" spans="1:9">
      <c r="A1118" t="s">
        <v>37</v>
      </c>
      <c r="B1118" t="s">
        <v>86</v>
      </c>
      <c r="C1118">
        <v>2022</v>
      </c>
      <c r="D1118" t="s">
        <v>66</v>
      </c>
      <c r="E1118">
        <v>12</v>
      </c>
      <c r="F1118">
        <v>7</v>
      </c>
      <c r="G1118">
        <v>5</v>
      </c>
      <c r="H1118">
        <v>6</v>
      </c>
      <c r="I1118" t="s">
        <v>12</v>
      </c>
    </row>
    <row r="1119" spans="1:9">
      <c r="A1119" t="s">
        <v>102</v>
      </c>
      <c r="B1119" t="s">
        <v>16</v>
      </c>
      <c r="C1119">
        <v>2022</v>
      </c>
      <c r="D1119" t="s">
        <v>66</v>
      </c>
      <c r="E1119">
        <v>10</v>
      </c>
      <c r="F1119">
        <v>17</v>
      </c>
      <c r="G1119">
        <v>-7</v>
      </c>
      <c r="H1119">
        <v>0</v>
      </c>
      <c r="I1119" t="s">
        <v>24</v>
      </c>
    </row>
    <row r="1120" spans="1:9">
      <c r="A1120" t="s">
        <v>39</v>
      </c>
      <c r="B1120" t="s">
        <v>87</v>
      </c>
      <c r="C1120">
        <v>2022</v>
      </c>
      <c r="D1120" t="s">
        <v>66</v>
      </c>
      <c r="E1120">
        <v>0</v>
      </c>
      <c r="F1120">
        <v>15</v>
      </c>
      <c r="G1120">
        <v>-15</v>
      </c>
      <c r="H1120">
        <v>0</v>
      </c>
      <c r="I1120" t="s">
        <v>24</v>
      </c>
    </row>
    <row r="1121" spans="1:9">
      <c r="A1121" t="s">
        <v>9</v>
      </c>
      <c r="B1121" t="s">
        <v>10</v>
      </c>
      <c r="C1121">
        <v>2022</v>
      </c>
      <c r="D1121" t="s">
        <v>107</v>
      </c>
      <c r="E1121">
        <v>4</v>
      </c>
      <c r="F1121">
        <v>2</v>
      </c>
      <c r="G1121">
        <v>2</v>
      </c>
      <c r="H1121">
        <v>18</v>
      </c>
      <c r="I1121" t="s">
        <v>12</v>
      </c>
    </row>
    <row r="1122" spans="1:9">
      <c r="A1122" t="s">
        <v>13</v>
      </c>
      <c r="B1122" t="s">
        <v>30</v>
      </c>
      <c r="C1122">
        <v>2022</v>
      </c>
      <c r="D1122" t="s">
        <v>107</v>
      </c>
      <c r="E1122">
        <v>7</v>
      </c>
      <c r="F1122">
        <v>6</v>
      </c>
      <c r="G1122">
        <v>1</v>
      </c>
      <c r="H1122">
        <v>8</v>
      </c>
      <c r="I1122" t="s">
        <v>12</v>
      </c>
    </row>
    <row r="1123" spans="1:9">
      <c r="A1123" t="s">
        <v>100</v>
      </c>
      <c r="B1123" t="s">
        <v>14</v>
      </c>
      <c r="C1123">
        <v>2022</v>
      </c>
      <c r="D1123" t="s">
        <v>107</v>
      </c>
      <c r="E1123">
        <v>12</v>
      </c>
      <c r="F1123">
        <v>11</v>
      </c>
      <c r="G1123">
        <v>1</v>
      </c>
      <c r="H1123">
        <v>0</v>
      </c>
      <c r="I1123" t="s">
        <v>12</v>
      </c>
    </row>
    <row r="1124" spans="1:9">
      <c r="A1124" t="s">
        <v>17</v>
      </c>
      <c r="B1124" t="s">
        <v>18</v>
      </c>
      <c r="C1124">
        <v>2022</v>
      </c>
      <c r="D1124" t="s">
        <v>107</v>
      </c>
      <c r="E1124">
        <v>3</v>
      </c>
      <c r="F1124">
        <v>4</v>
      </c>
      <c r="G1124">
        <v>-1</v>
      </c>
      <c r="H1124">
        <v>12</v>
      </c>
      <c r="I1124" t="s">
        <v>12</v>
      </c>
    </row>
    <row r="1125" spans="1:9">
      <c r="A1125" t="s">
        <v>46</v>
      </c>
      <c r="B1125" t="s">
        <v>33</v>
      </c>
      <c r="C1125">
        <v>2022</v>
      </c>
      <c r="D1125" t="s">
        <v>107</v>
      </c>
      <c r="E1125">
        <v>9</v>
      </c>
      <c r="F1125">
        <v>9</v>
      </c>
      <c r="G1125">
        <v>0</v>
      </c>
      <c r="H1125">
        <v>2</v>
      </c>
      <c r="I1125" t="s">
        <v>12</v>
      </c>
    </row>
    <row r="1126" spans="1:9">
      <c r="A1126" t="s">
        <v>20</v>
      </c>
      <c r="B1126" t="s">
        <v>87</v>
      </c>
      <c r="C1126">
        <v>2022</v>
      </c>
      <c r="D1126" t="s">
        <v>107</v>
      </c>
      <c r="E1126">
        <v>11</v>
      </c>
      <c r="F1126">
        <v>14</v>
      </c>
      <c r="G1126">
        <v>-3</v>
      </c>
      <c r="H1126">
        <v>0</v>
      </c>
      <c r="I1126" t="s">
        <v>12</v>
      </c>
    </row>
    <row r="1127" spans="1:9">
      <c r="A1127" t="s">
        <v>23</v>
      </c>
      <c r="B1127" t="s">
        <v>16</v>
      </c>
      <c r="C1127">
        <v>2022</v>
      </c>
      <c r="D1127" t="s">
        <v>107</v>
      </c>
      <c r="E1127">
        <v>20</v>
      </c>
      <c r="F1127">
        <v>18</v>
      </c>
      <c r="G1127">
        <v>2</v>
      </c>
      <c r="H1127">
        <v>0</v>
      </c>
      <c r="I1127" t="s">
        <v>22</v>
      </c>
    </row>
    <row r="1128" spans="1:9">
      <c r="A1128" t="s">
        <v>25</v>
      </c>
      <c r="B1128" t="s">
        <v>18</v>
      </c>
      <c r="C1128">
        <v>2022</v>
      </c>
      <c r="D1128" t="s">
        <v>107</v>
      </c>
      <c r="E1128">
        <v>2</v>
      </c>
      <c r="F1128">
        <v>1</v>
      </c>
      <c r="G1128">
        <v>1</v>
      </c>
      <c r="H1128">
        <v>25</v>
      </c>
      <c r="I1128" t="s">
        <v>12</v>
      </c>
    </row>
    <row r="1129" spans="1:9">
      <c r="A1129" t="s">
        <v>26</v>
      </c>
      <c r="B1129" t="s">
        <v>27</v>
      </c>
      <c r="C1129">
        <v>2022</v>
      </c>
      <c r="D1129" t="s">
        <v>107</v>
      </c>
      <c r="E1129">
        <v>19</v>
      </c>
      <c r="F1129">
        <v>5</v>
      </c>
      <c r="G1129">
        <v>14</v>
      </c>
      <c r="H1129">
        <v>11</v>
      </c>
      <c r="I1129" t="s">
        <v>12</v>
      </c>
    </row>
    <row r="1130" spans="1:9">
      <c r="A1130" t="s">
        <v>48</v>
      </c>
      <c r="B1130" t="s">
        <v>30</v>
      </c>
      <c r="C1130">
        <v>2022</v>
      </c>
      <c r="D1130" t="s">
        <v>107</v>
      </c>
      <c r="E1130">
        <v>10</v>
      </c>
      <c r="F1130">
        <v>8</v>
      </c>
      <c r="G1130">
        <v>2</v>
      </c>
      <c r="H1130">
        <v>4</v>
      </c>
      <c r="I1130" t="s">
        <v>12</v>
      </c>
    </row>
    <row r="1131" spans="1:9">
      <c r="A1131" t="s">
        <v>28</v>
      </c>
      <c r="B1131" t="s">
        <v>14</v>
      </c>
      <c r="C1131">
        <v>2022</v>
      </c>
      <c r="D1131" t="s">
        <v>107</v>
      </c>
      <c r="E1131">
        <v>15</v>
      </c>
      <c r="F1131">
        <v>10</v>
      </c>
      <c r="G1131">
        <v>5</v>
      </c>
      <c r="H1131">
        <v>1</v>
      </c>
      <c r="I1131" t="s">
        <v>12</v>
      </c>
    </row>
    <row r="1132" spans="1:9">
      <c r="A1132" t="s">
        <v>29</v>
      </c>
      <c r="B1132" t="s">
        <v>86</v>
      </c>
      <c r="C1132">
        <v>2022</v>
      </c>
      <c r="D1132" t="s">
        <v>107</v>
      </c>
      <c r="E1132">
        <v>14</v>
      </c>
      <c r="F1132">
        <v>12</v>
      </c>
      <c r="G1132">
        <v>2</v>
      </c>
      <c r="H1132">
        <v>0</v>
      </c>
      <c r="I1132" t="s">
        <v>12</v>
      </c>
    </row>
    <row r="1133" spans="1:9">
      <c r="A1133" t="s">
        <v>31</v>
      </c>
      <c r="B1133" t="s">
        <v>27</v>
      </c>
      <c r="C1133">
        <v>2022</v>
      </c>
      <c r="D1133" t="s">
        <v>107</v>
      </c>
      <c r="E1133">
        <v>1</v>
      </c>
      <c r="F1133">
        <v>19</v>
      </c>
      <c r="G1133">
        <v>-18</v>
      </c>
      <c r="H1133">
        <v>0</v>
      </c>
      <c r="I1133" t="s">
        <v>49</v>
      </c>
    </row>
    <row r="1134" spans="1:9">
      <c r="A1134" t="s">
        <v>32</v>
      </c>
      <c r="B1134" t="s">
        <v>33</v>
      </c>
      <c r="C1134">
        <v>2022</v>
      </c>
      <c r="D1134" t="s">
        <v>107</v>
      </c>
      <c r="E1134">
        <v>5</v>
      </c>
      <c r="F1134">
        <v>7</v>
      </c>
      <c r="G1134">
        <v>-2</v>
      </c>
      <c r="H1134">
        <v>6</v>
      </c>
      <c r="I1134" t="s">
        <v>12</v>
      </c>
    </row>
    <row r="1135" spans="1:9">
      <c r="A1135" t="s">
        <v>34</v>
      </c>
      <c r="B1135" t="s">
        <v>10</v>
      </c>
      <c r="C1135">
        <v>2022</v>
      </c>
      <c r="D1135" t="s">
        <v>107</v>
      </c>
      <c r="E1135">
        <v>6</v>
      </c>
      <c r="F1135">
        <v>3</v>
      </c>
      <c r="G1135">
        <v>3</v>
      </c>
      <c r="H1135">
        <v>15</v>
      </c>
      <c r="I1135" t="s">
        <v>12</v>
      </c>
    </row>
    <row r="1136" spans="1:9">
      <c r="A1136" t="s">
        <v>35</v>
      </c>
      <c r="B1136" t="s">
        <v>36</v>
      </c>
      <c r="C1136">
        <v>2022</v>
      </c>
      <c r="D1136" t="s">
        <v>107</v>
      </c>
      <c r="E1136">
        <v>13</v>
      </c>
      <c r="F1136">
        <v>13</v>
      </c>
      <c r="G1136">
        <v>0</v>
      </c>
      <c r="H1136">
        <v>0</v>
      </c>
      <c r="I1136" t="s">
        <v>12</v>
      </c>
    </row>
    <row r="1137" spans="1:9">
      <c r="A1137" t="s">
        <v>101</v>
      </c>
      <c r="B1137" t="s">
        <v>36</v>
      </c>
      <c r="C1137">
        <v>2022</v>
      </c>
      <c r="D1137" t="s">
        <v>107</v>
      </c>
      <c r="E1137">
        <v>18</v>
      </c>
      <c r="F1137">
        <v>17</v>
      </c>
      <c r="G1137">
        <v>1</v>
      </c>
      <c r="H1137">
        <v>0</v>
      </c>
      <c r="I1137" t="s">
        <v>22</v>
      </c>
    </row>
    <row r="1138" spans="1:9">
      <c r="A1138" t="s">
        <v>37</v>
      </c>
      <c r="B1138" t="s">
        <v>86</v>
      </c>
      <c r="C1138">
        <v>2022</v>
      </c>
      <c r="D1138" t="s">
        <v>107</v>
      </c>
      <c r="E1138">
        <v>8</v>
      </c>
      <c r="F1138">
        <v>20</v>
      </c>
      <c r="G1138">
        <v>-12</v>
      </c>
      <c r="H1138">
        <v>0</v>
      </c>
      <c r="I1138" t="s">
        <v>93</v>
      </c>
    </row>
    <row r="1139" spans="1:9">
      <c r="A1139" t="s">
        <v>102</v>
      </c>
      <c r="B1139" t="s">
        <v>16</v>
      </c>
      <c r="C1139">
        <v>2022</v>
      </c>
      <c r="D1139" t="s">
        <v>107</v>
      </c>
      <c r="E1139">
        <v>17</v>
      </c>
      <c r="F1139">
        <v>15</v>
      </c>
      <c r="G1139">
        <v>2</v>
      </c>
      <c r="H1139">
        <v>0</v>
      </c>
      <c r="I1139" t="s">
        <v>12</v>
      </c>
    </row>
    <row r="1140" spans="1:9">
      <c r="A1140" t="s">
        <v>39</v>
      </c>
      <c r="B1140" t="s">
        <v>87</v>
      </c>
      <c r="C1140">
        <v>2022</v>
      </c>
      <c r="D1140" t="s">
        <v>107</v>
      </c>
      <c r="E1140">
        <v>16</v>
      </c>
      <c r="F1140">
        <v>16</v>
      </c>
      <c r="G1140">
        <v>0</v>
      </c>
      <c r="H1140">
        <v>0</v>
      </c>
      <c r="I1140" t="s">
        <v>108</v>
      </c>
    </row>
    <row r="1141" spans="1:9">
      <c r="A1141" t="s">
        <v>9</v>
      </c>
      <c r="B1141" t="s">
        <v>10</v>
      </c>
      <c r="C1141">
        <v>2022</v>
      </c>
      <c r="D1141" t="s">
        <v>67</v>
      </c>
      <c r="E1141">
        <v>7</v>
      </c>
      <c r="F1141">
        <v>2</v>
      </c>
      <c r="G1141">
        <v>5</v>
      </c>
      <c r="H1141">
        <v>19</v>
      </c>
      <c r="I1141" t="s">
        <v>12</v>
      </c>
    </row>
    <row r="1142" spans="1:9">
      <c r="A1142" t="s">
        <v>13</v>
      </c>
      <c r="B1142" t="s">
        <v>30</v>
      </c>
      <c r="C1142">
        <v>2022</v>
      </c>
      <c r="D1142" t="s">
        <v>67</v>
      </c>
      <c r="E1142">
        <v>6</v>
      </c>
      <c r="F1142">
        <v>8</v>
      </c>
      <c r="G1142">
        <v>-2</v>
      </c>
      <c r="H1142">
        <v>4</v>
      </c>
      <c r="I1142" t="s">
        <v>24</v>
      </c>
    </row>
    <row r="1143" spans="1:9">
      <c r="A1143" t="s">
        <v>100</v>
      </c>
      <c r="B1143" t="s">
        <v>14</v>
      </c>
      <c r="C1143">
        <v>2022</v>
      </c>
      <c r="D1143" t="s">
        <v>67</v>
      </c>
      <c r="E1143">
        <v>18</v>
      </c>
      <c r="F1143">
        <v>10</v>
      </c>
      <c r="G1143">
        <v>8</v>
      </c>
      <c r="H1143">
        <v>1</v>
      </c>
      <c r="I1143" t="s">
        <v>24</v>
      </c>
    </row>
    <row r="1144" spans="1:9">
      <c r="A1144" t="s">
        <v>17</v>
      </c>
      <c r="B1144" t="s">
        <v>18</v>
      </c>
      <c r="C1144">
        <v>2022</v>
      </c>
      <c r="D1144" t="s">
        <v>67</v>
      </c>
      <c r="E1144">
        <v>11</v>
      </c>
      <c r="F1144">
        <v>5</v>
      </c>
      <c r="G1144">
        <v>6</v>
      </c>
      <c r="H1144">
        <v>10</v>
      </c>
      <c r="I1144" t="s">
        <v>12</v>
      </c>
    </row>
    <row r="1145" spans="1:9">
      <c r="A1145" t="s">
        <v>46</v>
      </c>
      <c r="B1145" t="s">
        <v>33</v>
      </c>
      <c r="C1145">
        <v>2022</v>
      </c>
      <c r="D1145" t="s">
        <v>67</v>
      </c>
      <c r="E1145">
        <v>9</v>
      </c>
      <c r="F1145">
        <v>15</v>
      </c>
      <c r="G1145">
        <v>-6</v>
      </c>
      <c r="H1145">
        <v>0</v>
      </c>
      <c r="I1145" t="s">
        <v>24</v>
      </c>
    </row>
    <row r="1146" spans="1:9">
      <c r="A1146" t="s">
        <v>20</v>
      </c>
      <c r="B1146" t="s">
        <v>87</v>
      </c>
      <c r="C1146">
        <v>2022</v>
      </c>
      <c r="D1146" t="s">
        <v>67</v>
      </c>
      <c r="E1146">
        <v>8</v>
      </c>
      <c r="F1146">
        <v>20</v>
      </c>
      <c r="G1146">
        <v>-12</v>
      </c>
      <c r="H1146">
        <v>0</v>
      </c>
      <c r="I1146" t="s">
        <v>81</v>
      </c>
    </row>
    <row r="1147" spans="1:9">
      <c r="A1147" t="s">
        <v>23</v>
      </c>
      <c r="B1147" t="s">
        <v>16</v>
      </c>
      <c r="C1147">
        <v>2022</v>
      </c>
      <c r="D1147" t="s">
        <v>67</v>
      </c>
      <c r="E1147">
        <v>13</v>
      </c>
      <c r="F1147">
        <v>16</v>
      </c>
      <c r="G1147">
        <v>-3</v>
      </c>
      <c r="H1147">
        <v>0</v>
      </c>
      <c r="I1147" t="s">
        <v>24</v>
      </c>
    </row>
    <row r="1148" spans="1:9">
      <c r="A1148" t="s">
        <v>25</v>
      </c>
      <c r="B1148" t="s">
        <v>18</v>
      </c>
      <c r="C1148">
        <v>2022</v>
      </c>
      <c r="D1148" t="s">
        <v>67</v>
      </c>
      <c r="E1148">
        <v>10</v>
      </c>
      <c r="F1148">
        <v>1</v>
      </c>
      <c r="G1148">
        <v>9</v>
      </c>
      <c r="H1148">
        <v>25</v>
      </c>
      <c r="I1148" t="s">
        <v>12</v>
      </c>
    </row>
    <row r="1149" spans="1:9">
      <c r="A1149" t="s">
        <v>26</v>
      </c>
      <c r="B1149" t="s">
        <v>27</v>
      </c>
      <c r="C1149">
        <v>2022</v>
      </c>
      <c r="D1149" t="s">
        <v>67</v>
      </c>
      <c r="E1149">
        <v>2</v>
      </c>
      <c r="F1149">
        <v>4</v>
      </c>
      <c r="G1149">
        <v>-2</v>
      </c>
      <c r="H1149">
        <v>12</v>
      </c>
      <c r="I1149" t="s">
        <v>12</v>
      </c>
    </row>
    <row r="1150" spans="1:9">
      <c r="A1150" t="s">
        <v>48</v>
      </c>
      <c r="B1150" t="s">
        <v>30</v>
      </c>
      <c r="C1150">
        <v>2022</v>
      </c>
      <c r="D1150" t="s">
        <v>67</v>
      </c>
      <c r="E1150">
        <v>5</v>
      </c>
      <c r="F1150">
        <v>9</v>
      </c>
      <c r="G1150">
        <v>-4</v>
      </c>
      <c r="H1150">
        <v>2</v>
      </c>
      <c r="I1150" t="s">
        <v>24</v>
      </c>
    </row>
    <row r="1151" spans="1:9">
      <c r="A1151" t="s">
        <v>28</v>
      </c>
      <c r="B1151" t="s">
        <v>14</v>
      </c>
      <c r="C1151">
        <v>2022</v>
      </c>
      <c r="D1151" t="s">
        <v>67</v>
      </c>
      <c r="E1151">
        <v>14</v>
      </c>
      <c r="F1151">
        <v>11</v>
      </c>
      <c r="G1151">
        <v>3</v>
      </c>
      <c r="H1151">
        <v>0</v>
      </c>
      <c r="I1151" t="s">
        <v>24</v>
      </c>
    </row>
    <row r="1152" spans="1:9">
      <c r="A1152" t="s">
        <v>29</v>
      </c>
      <c r="B1152" t="s">
        <v>86</v>
      </c>
      <c r="C1152">
        <v>2022</v>
      </c>
      <c r="D1152" t="s">
        <v>67</v>
      </c>
      <c r="E1152">
        <v>0</v>
      </c>
      <c r="F1152">
        <v>12</v>
      </c>
      <c r="G1152">
        <v>-12</v>
      </c>
      <c r="H1152">
        <v>0</v>
      </c>
      <c r="I1152" t="s">
        <v>24</v>
      </c>
    </row>
    <row r="1153" spans="1:9">
      <c r="A1153" t="s">
        <v>31</v>
      </c>
      <c r="B1153" t="s">
        <v>27</v>
      </c>
      <c r="C1153">
        <v>2022</v>
      </c>
      <c r="D1153" t="s">
        <v>67</v>
      </c>
      <c r="E1153">
        <v>3</v>
      </c>
      <c r="F1153">
        <v>6</v>
      </c>
      <c r="G1153">
        <v>-3</v>
      </c>
      <c r="H1153">
        <v>8</v>
      </c>
      <c r="I1153" t="s">
        <v>12</v>
      </c>
    </row>
    <row r="1154" spans="1:9">
      <c r="A1154" t="s">
        <v>32</v>
      </c>
      <c r="B1154" t="s">
        <v>33</v>
      </c>
      <c r="C1154">
        <v>2022</v>
      </c>
      <c r="D1154" t="s">
        <v>67</v>
      </c>
      <c r="E1154">
        <v>4</v>
      </c>
      <c r="F1154">
        <v>7</v>
      </c>
      <c r="G1154">
        <v>-3</v>
      </c>
      <c r="H1154">
        <v>6</v>
      </c>
      <c r="I1154" t="s">
        <v>12</v>
      </c>
    </row>
    <row r="1155" spans="1:9">
      <c r="A1155" t="s">
        <v>34</v>
      </c>
      <c r="B1155" t="s">
        <v>10</v>
      </c>
      <c r="C1155">
        <v>2022</v>
      </c>
      <c r="D1155" t="s">
        <v>67</v>
      </c>
      <c r="E1155">
        <v>1</v>
      </c>
      <c r="F1155">
        <v>3</v>
      </c>
      <c r="G1155">
        <v>-2</v>
      </c>
      <c r="H1155">
        <v>15</v>
      </c>
      <c r="I1155" t="s">
        <v>12</v>
      </c>
    </row>
    <row r="1156" spans="1:9">
      <c r="A1156" t="s">
        <v>35</v>
      </c>
      <c r="B1156" t="s">
        <v>36</v>
      </c>
      <c r="C1156">
        <v>2022</v>
      </c>
      <c r="D1156" t="s">
        <v>67</v>
      </c>
      <c r="E1156">
        <v>17</v>
      </c>
      <c r="F1156">
        <v>17</v>
      </c>
      <c r="G1156">
        <v>0</v>
      </c>
      <c r="H1156">
        <v>0</v>
      </c>
      <c r="I1156" t="s">
        <v>24</v>
      </c>
    </row>
    <row r="1157" spans="1:9">
      <c r="A1157" t="s">
        <v>101</v>
      </c>
      <c r="B1157" t="s">
        <v>36</v>
      </c>
      <c r="C1157">
        <v>2022</v>
      </c>
      <c r="D1157" t="s">
        <v>67</v>
      </c>
      <c r="E1157">
        <v>19</v>
      </c>
      <c r="F1157">
        <v>18</v>
      </c>
      <c r="G1157">
        <v>1</v>
      </c>
      <c r="H1157">
        <v>0</v>
      </c>
      <c r="I1157" t="s">
        <v>24</v>
      </c>
    </row>
    <row r="1158" spans="1:9">
      <c r="A1158" t="s">
        <v>37</v>
      </c>
      <c r="B1158" t="s">
        <v>86</v>
      </c>
      <c r="C1158">
        <v>2022</v>
      </c>
      <c r="D1158" t="s">
        <v>67</v>
      </c>
      <c r="E1158">
        <v>16</v>
      </c>
      <c r="F1158">
        <v>19</v>
      </c>
      <c r="G1158">
        <v>-3</v>
      </c>
      <c r="H1158">
        <v>0</v>
      </c>
      <c r="I1158" t="s">
        <v>53</v>
      </c>
    </row>
    <row r="1159" spans="1:9">
      <c r="A1159" t="s">
        <v>102</v>
      </c>
      <c r="B1159" t="s">
        <v>16</v>
      </c>
      <c r="C1159">
        <v>2022</v>
      </c>
      <c r="D1159" t="s">
        <v>67</v>
      </c>
      <c r="E1159">
        <v>15</v>
      </c>
      <c r="F1159">
        <v>14</v>
      </c>
      <c r="G1159">
        <v>1</v>
      </c>
      <c r="H1159">
        <v>0</v>
      </c>
      <c r="I1159" t="s">
        <v>24</v>
      </c>
    </row>
    <row r="1160" spans="1:9">
      <c r="A1160" t="s">
        <v>39</v>
      </c>
      <c r="B1160" t="s">
        <v>87</v>
      </c>
      <c r="C1160">
        <v>2022</v>
      </c>
      <c r="D1160" t="s">
        <v>67</v>
      </c>
      <c r="E1160">
        <v>12</v>
      </c>
      <c r="F1160">
        <v>13</v>
      </c>
      <c r="G1160">
        <v>-1</v>
      </c>
      <c r="H1160">
        <v>0</v>
      </c>
      <c r="I1160" t="s">
        <v>24</v>
      </c>
    </row>
    <row r="1161" spans="1:9">
      <c r="A1161" t="s">
        <v>9</v>
      </c>
      <c r="B1161" t="s">
        <v>10</v>
      </c>
      <c r="C1161">
        <v>2022</v>
      </c>
      <c r="D1161" t="s">
        <v>69</v>
      </c>
      <c r="E1161">
        <v>19</v>
      </c>
      <c r="F1161">
        <v>5</v>
      </c>
      <c r="G1161">
        <v>14</v>
      </c>
      <c r="H1161">
        <v>10</v>
      </c>
      <c r="I1161" t="s">
        <v>12</v>
      </c>
    </row>
    <row r="1162" spans="1:9">
      <c r="A1162" t="s">
        <v>13</v>
      </c>
      <c r="B1162" t="s">
        <v>30</v>
      </c>
      <c r="C1162">
        <v>2022</v>
      </c>
      <c r="D1162" t="s">
        <v>69</v>
      </c>
      <c r="E1162">
        <v>6</v>
      </c>
      <c r="F1162">
        <v>19</v>
      </c>
      <c r="G1162">
        <v>-13</v>
      </c>
      <c r="H1162">
        <v>0</v>
      </c>
      <c r="I1162" t="s">
        <v>62</v>
      </c>
    </row>
    <row r="1163" spans="1:9">
      <c r="A1163" t="s">
        <v>100</v>
      </c>
      <c r="B1163" t="s">
        <v>14</v>
      </c>
      <c r="C1163">
        <v>2022</v>
      </c>
      <c r="D1163" t="s">
        <v>69</v>
      </c>
      <c r="E1163">
        <v>11</v>
      </c>
      <c r="F1163">
        <v>20</v>
      </c>
      <c r="G1163">
        <v>-9</v>
      </c>
      <c r="H1163">
        <v>0</v>
      </c>
      <c r="I1163" t="s">
        <v>42</v>
      </c>
    </row>
    <row r="1164" spans="1:9">
      <c r="A1164" t="s">
        <v>17</v>
      </c>
      <c r="B1164" t="s">
        <v>18</v>
      </c>
      <c r="C1164">
        <v>2022</v>
      </c>
      <c r="D1164" t="s">
        <v>69</v>
      </c>
      <c r="E1164">
        <v>13</v>
      </c>
      <c r="F1164">
        <v>6</v>
      </c>
      <c r="G1164">
        <v>7</v>
      </c>
      <c r="H1164">
        <v>9</v>
      </c>
      <c r="I1164" t="s">
        <v>12</v>
      </c>
    </row>
    <row r="1165" spans="1:9">
      <c r="A1165" t="s">
        <v>46</v>
      </c>
      <c r="B1165" t="s">
        <v>33</v>
      </c>
      <c r="C1165">
        <v>2022</v>
      </c>
      <c r="D1165" t="s">
        <v>69</v>
      </c>
      <c r="E1165">
        <v>4</v>
      </c>
      <c r="F1165">
        <v>17</v>
      </c>
      <c r="G1165">
        <v>-13</v>
      </c>
      <c r="H1165">
        <v>0</v>
      </c>
      <c r="I1165" t="s">
        <v>92</v>
      </c>
    </row>
    <row r="1166" spans="1:9">
      <c r="A1166" t="s">
        <v>20</v>
      </c>
      <c r="B1166" t="s">
        <v>87</v>
      </c>
      <c r="C1166">
        <v>2022</v>
      </c>
      <c r="D1166" t="s">
        <v>69</v>
      </c>
      <c r="E1166">
        <v>15</v>
      </c>
      <c r="F1166">
        <v>13</v>
      </c>
      <c r="G1166">
        <v>2</v>
      </c>
      <c r="H1166">
        <v>0</v>
      </c>
      <c r="I1166" t="s">
        <v>24</v>
      </c>
    </row>
    <row r="1167" spans="1:9">
      <c r="A1167" t="s">
        <v>23</v>
      </c>
      <c r="B1167" t="s">
        <v>16</v>
      </c>
      <c r="C1167">
        <v>2022</v>
      </c>
      <c r="D1167" t="s">
        <v>69</v>
      </c>
      <c r="E1167">
        <v>16</v>
      </c>
      <c r="F1167">
        <v>16</v>
      </c>
      <c r="G1167">
        <v>0</v>
      </c>
      <c r="H1167">
        <v>0</v>
      </c>
      <c r="I1167" t="s">
        <v>24</v>
      </c>
    </row>
    <row r="1168" spans="1:9">
      <c r="A1168" t="s">
        <v>25</v>
      </c>
      <c r="B1168" t="s">
        <v>18</v>
      </c>
      <c r="C1168">
        <v>2022</v>
      </c>
      <c r="D1168" t="s">
        <v>69</v>
      </c>
      <c r="E1168">
        <v>7</v>
      </c>
      <c r="F1168">
        <v>1</v>
      </c>
      <c r="G1168">
        <v>6</v>
      </c>
      <c r="H1168">
        <v>25</v>
      </c>
      <c r="I1168" t="s">
        <v>12</v>
      </c>
    </row>
    <row r="1169" spans="1:9">
      <c r="A1169" t="s">
        <v>26</v>
      </c>
      <c r="B1169" t="s">
        <v>27</v>
      </c>
      <c r="C1169">
        <v>2022</v>
      </c>
      <c r="D1169" t="s">
        <v>69</v>
      </c>
      <c r="E1169">
        <v>18</v>
      </c>
      <c r="F1169">
        <v>4</v>
      </c>
      <c r="G1169">
        <v>14</v>
      </c>
      <c r="H1169">
        <v>12</v>
      </c>
      <c r="I1169" t="s">
        <v>12</v>
      </c>
    </row>
    <row r="1170" spans="1:9">
      <c r="A1170" t="s">
        <v>48</v>
      </c>
      <c r="B1170" t="s">
        <v>30</v>
      </c>
      <c r="C1170">
        <v>2022</v>
      </c>
      <c r="D1170" t="s">
        <v>69</v>
      </c>
      <c r="E1170">
        <v>14</v>
      </c>
      <c r="F1170">
        <v>11</v>
      </c>
      <c r="G1170">
        <v>3</v>
      </c>
      <c r="H1170">
        <v>0</v>
      </c>
      <c r="I1170" t="s">
        <v>12</v>
      </c>
    </row>
    <row r="1171" spans="1:9">
      <c r="A1171" t="s">
        <v>28</v>
      </c>
      <c r="B1171" t="s">
        <v>14</v>
      </c>
      <c r="C1171">
        <v>2022</v>
      </c>
      <c r="D1171" t="s">
        <v>69</v>
      </c>
      <c r="E1171">
        <v>12</v>
      </c>
      <c r="F1171">
        <v>18</v>
      </c>
      <c r="G1171">
        <v>-6</v>
      </c>
      <c r="H1171">
        <v>0</v>
      </c>
      <c r="I1171" t="s">
        <v>42</v>
      </c>
    </row>
    <row r="1172" spans="1:9">
      <c r="A1172" t="s">
        <v>29</v>
      </c>
      <c r="B1172" t="s">
        <v>86</v>
      </c>
      <c r="C1172">
        <v>2022</v>
      </c>
      <c r="D1172" t="s">
        <v>69</v>
      </c>
      <c r="E1172">
        <v>5</v>
      </c>
      <c r="F1172">
        <v>8</v>
      </c>
      <c r="G1172">
        <v>-3</v>
      </c>
      <c r="H1172">
        <v>4</v>
      </c>
      <c r="I1172" t="s">
        <v>12</v>
      </c>
    </row>
    <row r="1173" spans="1:9">
      <c r="A1173" t="s">
        <v>31</v>
      </c>
      <c r="B1173" t="s">
        <v>27</v>
      </c>
      <c r="C1173">
        <v>2022</v>
      </c>
      <c r="D1173" t="s">
        <v>69</v>
      </c>
      <c r="E1173">
        <v>1</v>
      </c>
      <c r="F1173">
        <v>2</v>
      </c>
      <c r="G1173">
        <v>-1</v>
      </c>
      <c r="H1173">
        <v>18</v>
      </c>
      <c r="I1173" t="s">
        <v>12</v>
      </c>
    </row>
    <row r="1174" spans="1:9">
      <c r="A1174" t="s">
        <v>32</v>
      </c>
      <c r="B1174" t="s">
        <v>33</v>
      </c>
      <c r="C1174">
        <v>2022</v>
      </c>
      <c r="D1174" t="s">
        <v>69</v>
      </c>
      <c r="E1174">
        <v>3</v>
      </c>
      <c r="F1174">
        <v>7</v>
      </c>
      <c r="G1174">
        <v>-4</v>
      </c>
      <c r="H1174">
        <v>6</v>
      </c>
      <c r="I1174" t="s">
        <v>12</v>
      </c>
    </row>
    <row r="1175" spans="1:9">
      <c r="A1175" t="s">
        <v>34</v>
      </c>
      <c r="B1175" t="s">
        <v>10</v>
      </c>
      <c r="C1175">
        <v>2022</v>
      </c>
      <c r="D1175" t="s">
        <v>69</v>
      </c>
      <c r="E1175">
        <v>2</v>
      </c>
      <c r="F1175">
        <v>3</v>
      </c>
      <c r="G1175">
        <v>-1</v>
      </c>
      <c r="H1175">
        <v>15</v>
      </c>
      <c r="I1175" t="s">
        <v>12</v>
      </c>
    </row>
    <row r="1176" spans="1:9">
      <c r="A1176" t="s">
        <v>101</v>
      </c>
      <c r="B1176" t="s">
        <v>36</v>
      </c>
      <c r="C1176">
        <v>2022</v>
      </c>
      <c r="D1176" t="s">
        <v>69</v>
      </c>
      <c r="E1176">
        <v>10</v>
      </c>
      <c r="F1176">
        <v>15</v>
      </c>
      <c r="G1176">
        <v>-5</v>
      </c>
      <c r="H1176">
        <v>0</v>
      </c>
      <c r="I1176" t="s">
        <v>24</v>
      </c>
    </row>
    <row r="1177" spans="1:9">
      <c r="A1177" t="s">
        <v>37</v>
      </c>
      <c r="B1177" t="s">
        <v>86</v>
      </c>
      <c r="C1177">
        <v>2022</v>
      </c>
      <c r="D1177" t="s">
        <v>69</v>
      </c>
      <c r="E1177">
        <v>20</v>
      </c>
      <c r="F1177">
        <v>14</v>
      </c>
      <c r="G1177">
        <v>6</v>
      </c>
      <c r="H1177">
        <v>0</v>
      </c>
      <c r="I1177" t="s">
        <v>24</v>
      </c>
    </row>
    <row r="1178" spans="1:9">
      <c r="A1178" t="s">
        <v>102</v>
      </c>
      <c r="B1178" t="s">
        <v>16</v>
      </c>
      <c r="C1178">
        <v>2022</v>
      </c>
      <c r="D1178" t="s">
        <v>69</v>
      </c>
      <c r="E1178">
        <v>17</v>
      </c>
      <c r="F1178">
        <v>12</v>
      </c>
      <c r="G1178">
        <v>5</v>
      </c>
      <c r="H1178">
        <v>0</v>
      </c>
      <c r="I1178" t="s">
        <v>12</v>
      </c>
    </row>
    <row r="1179" spans="1:9">
      <c r="A1179" t="s">
        <v>39</v>
      </c>
      <c r="B1179" t="s">
        <v>87</v>
      </c>
      <c r="C1179">
        <v>2022</v>
      </c>
      <c r="D1179" t="s">
        <v>69</v>
      </c>
      <c r="E1179">
        <v>9</v>
      </c>
      <c r="F1179">
        <v>10</v>
      </c>
      <c r="G1179">
        <v>-1</v>
      </c>
      <c r="H1179">
        <v>1</v>
      </c>
      <c r="I1179" t="s">
        <v>12</v>
      </c>
    </row>
    <row r="1180" spans="1:9">
      <c r="A1180" t="s">
        <v>88</v>
      </c>
      <c r="B1180" t="s">
        <v>36</v>
      </c>
      <c r="C1180">
        <v>2022</v>
      </c>
      <c r="D1180" t="s">
        <v>69</v>
      </c>
      <c r="E1180">
        <v>8</v>
      </c>
      <c r="F1180">
        <v>9</v>
      </c>
      <c r="G1180">
        <v>-1</v>
      </c>
      <c r="H1180">
        <v>2</v>
      </c>
      <c r="I1180" t="s">
        <v>12</v>
      </c>
    </row>
    <row r="1181" spans="1:9">
      <c r="A1181" t="s">
        <v>9</v>
      </c>
      <c r="B1181" t="s">
        <v>10</v>
      </c>
      <c r="C1181">
        <v>2022</v>
      </c>
      <c r="D1181" t="s">
        <v>71</v>
      </c>
      <c r="E1181">
        <v>6</v>
      </c>
      <c r="F1181">
        <v>5</v>
      </c>
      <c r="G1181">
        <v>1</v>
      </c>
      <c r="H1181">
        <v>10</v>
      </c>
      <c r="I1181" t="s">
        <v>12</v>
      </c>
    </row>
    <row r="1182" spans="1:9">
      <c r="A1182" t="s">
        <v>13</v>
      </c>
      <c r="B1182" t="s">
        <v>30</v>
      </c>
      <c r="C1182">
        <v>2022</v>
      </c>
      <c r="D1182" t="s">
        <v>71</v>
      </c>
      <c r="E1182">
        <v>7</v>
      </c>
      <c r="F1182">
        <v>7</v>
      </c>
      <c r="G1182">
        <v>0</v>
      </c>
      <c r="H1182">
        <v>6</v>
      </c>
      <c r="I1182" t="s">
        <v>12</v>
      </c>
    </row>
    <row r="1183" spans="1:9">
      <c r="A1183" t="s">
        <v>100</v>
      </c>
      <c r="B1183" t="s">
        <v>14</v>
      </c>
      <c r="C1183">
        <v>2022</v>
      </c>
      <c r="D1183" t="s">
        <v>71</v>
      </c>
      <c r="E1183">
        <v>9</v>
      </c>
      <c r="F1183">
        <v>6</v>
      </c>
      <c r="G1183">
        <v>3</v>
      </c>
      <c r="H1183">
        <v>8</v>
      </c>
      <c r="I1183" t="s">
        <v>12</v>
      </c>
    </row>
    <row r="1184" spans="1:9">
      <c r="A1184" t="s">
        <v>17</v>
      </c>
      <c r="B1184" t="s">
        <v>18</v>
      </c>
      <c r="C1184">
        <v>2022</v>
      </c>
      <c r="D1184" t="s">
        <v>71</v>
      </c>
      <c r="E1184">
        <v>4</v>
      </c>
      <c r="F1184">
        <v>2</v>
      </c>
      <c r="G1184">
        <v>2</v>
      </c>
      <c r="H1184">
        <v>18</v>
      </c>
      <c r="I1184" t="s">
        <v>12</v>
      </c>
    </row>
    <row r="1185" spans="1:9">
      <c r="A1185" t="s">
        <v>46</v>
      </c>
      <c r="B1185" t="s">
        <v>33</v>
      </c>
      <c r="C1185">
        <v>2022</v>
      </c>
      <c r="D1185" t="s">
        <v>71</v>
      </c>
      <c r="E1185">
        <v>11</v>
      </c>
      <c r="F1185">
        <v>11</v>
      </c>
      <c r="G1185">
        <v>0</v>
      </c>
      <c r="H1185">
        <v>0</v>
      </c>
      <c r="I1185" t="s">
        <v>12</v>
      </c>
    </row>
    <row r="1186" spans="1:9">
      <c r="A1186" t="s">
        <v>20</v>
      </c>
      <c r="B1186" t="s">
        <v>87</v>
      </c>
      <c r="C1186">
        <v>2022</v>
      </c>
      <c r="D1186" t="s">
        <v>71</v>
      </c>
      <c r="E1186">
        <v>12</v>
      </c>
      <c r="F1186">
        <v>15</v>
      </c>
      <c r="G1186">
        <v>-3</v>
      </c>
      <c r="H1186">
        <v>0</v>
      </c>
      <c r="I1186" t="s">
        <v>12</v>
      </c>
    </row>
    <row r="1187" spans="1:9">
      <c r="A1187" t="s">
        <v>23</v>
      </c>
      <c r="B1187" t="s">
        <v>16</v>
      </c>
      <c r="C1187">
        <v>2022</v>
      </c>
      <c r="D1187" t="s">
        <v>71</v>
      </c>
      <c r="E1187">
        <v>18</v>
      </c>
      <c r="F1187">
        <v>14</v>
      </c>
      <c r="G1187">
        <v>4</v>
      </c>
      <c r="H1187">
        <v>0</v>
      </c>
      <c r="I1187" t="s">
        <v>12</v>
      </c>
    </row>
    <row r="1188" spans="1:9">
      <c r="A1188" t="s">
        <v>25</v>
      </c>
      <c r="B1188" t="s">
        <v>18</v>
      </c>
      <c r="C1188">
        <v>2022</v>
      </c>
      <c r="D1188" t="s">
        <v>71</v>
      </c>
      <c r="E1188">
        <v>1</v>
      </c>
      <c r="F1188">
        <v>1</v>
      </c>
      <c r="G1188">
        <v>0</v>
      </c>
      <c r="H1188">
        <v>25</v>
      </c>
      <c r="I1188" t="s">
        <v>12</v>
      </c>
    </row>
    <row r="1189" spans="1:9">
      <c r="A1189" t="s">
        <v>26</v>
      </c>
      <c r="B1189" t="s">
        <v>27</v>
      </c>
      <c r="C1189">
        <v>2022</v>
      </c>
      <c r="D1189" t="s">
        <v>71</v>
      </c>
      <c r="E1189">
        <v>3</v>
      </c>
      <c r="F1189">
        <v>19</v>
      </c>
      <c r="G1189">
        <v>-16</v>
      </c>
      <c r="H1189">
        <v>0</v>
      </c>
      <c r="I1189" t="s">
        <v>49</v>
      </c>
    </row>
    <row r="1190" spans="1:9">
      <c r="A1190" t="s">
        <v>48</v>
      </c>
      <c r="B1190" t="s">
        <v>30</v>
      </c>
      <c r="C1190">
        <v>2022</v>
      </c>
      <c r="D1190" t="s">
        <v>71</v>
      </c>
      <c r="E1190">
        <v>5</v>
      </c>
      <c r="F1190">
        <v>4</v>
      </c>
      <c r="G1190">
        <v>1</v>
      </c>
      <c r="H1190">
        <v>12</v>
      </c>
      <c r="I1190" t="s">
        <v>12</v>
      </c>
    </row>
    <row r="1191" spans="1:9">
      <c r="A1191" t="s">
        <v>28</v>
      </c>
      <c r="B1191" t="s">
        <v>14</v>
      </c>
      <c r="C1191">
        <v>2022</v>
      </c>
      <c r="D1191" t="s">
        <v>71</v>
      </c>
      <c r="E1191">
        <v>19</v>
      </c>
      <c r="F1191">
        <v>12</v>
      </c>
      <c r="G1191">
        <v>7</v>
      </c>
      <c r="H1191">
        <v>0</v>
      </c>
      <c r="I1191" t="s">
        <v>12</v>
      </c>
    </row>
    <row r="1192" spans="1:9">
      <c r="A1192" t="s">
        <v>29</v>
      </c>
      <c r="B1192" t="s">
        <v>86</v>
      </c>
      <c r="C1192">
        <v>2022</v>
      </c>
      <c r="D1192" t="s">
        <v>71</v>
      </c>
      <c r="E1192">
        <v>17</v>
      </c>
      <c r="F1192">
        <v>18</v>
      </c>
      <c r="G1192">
        <v>-1</v>
      </c>
      <c r="H1192">
        <v>0</v>
      </c>
      <c r="I1192" t="s">
        <v>12</v>
      </c>
    </row>
    <row r="1193" spans="1:9">
      <c r="A1193" t="s">
        <v>31</v>
      </c>
      <c r="B1193" t="s">
        <v>27</v>
      </c>
      <c r="C1193">
        <v>2022</v>
      </c>
      <c r="D1193" t="s">
        <v>71</v>
      </c>
      <c r="E1193">
        <v>2</v>
      </c>
      <c r="F1193">
        <v>3</v>
      </c>
      <c r="G1193">
        <v>-1</v>
      </c>
      <c r="H1193">
        <v>15</v>
      </c>
      <c r="I1193" t="s">
        <v>12</v>
      </c>
    </row>
    <row r="1194" spans="1:9">
      <c r="A1194" t="s">
        <v>32</v>
      </c>
      <c r="B1194" t="s">
        <v>33</v>
      </c>
      <c r="C1194">
        <v>2022</v>
      </c>
      <c r="D1194" t="s">
        <v>71</v>
      </c>
      <c r="E1194">
        <v>10</v>
      </c>
      <c r="F1194">
        <v>10</v>
      </c>
      <c r="G1194">
        <v>0</v>
      </c>
      <c r="H1194">
        <v>1</v>
      </c>
      <c r="I1194" t="s">
        <v>12</v>
      </c>
    </row>
    <row r="1195" spans="1:9">
      <c r="A1195" t="s">
        <v>34</v>
      </c>
      <c r="B1195" t="s">
        <v>10</v>
      </c>
      <c r="C1195">
        <v>2022</v>
      </c>
      <c r="D1195" t="s">
        <v>71</v>
      </c>
      <c r="E1195">
        <v>8</v>
      </c>
      <c r="F1195">
        <v>8</v>
      </c>
      <c r="G1195">
        <v>0</v>
      </c>
      <c r="H1195">
        <v>4</v>
      </c>
      <c r="I1195" t="s">
        <v>12</v>
      </c>
    </row>
    <row r="1196" spans="1:9">
      <c r="A1196" t="s">
        <v>35</v>
      </c>
      <c r="B1196" t="s">
        <v>36</v>
      </c>
      <c r="C1196">
        <v>2022</v>
      </c>
      <c r="D1196" t="s">
        <v>71</v>
      </c>
      <c r="E1196">
        <v>16</v>
      </c>
      <c r="F1196">
        <v>20</v>
      </c>
      <c r="G1196">
        <v>-4</v>
      </c>
      <c r="H1196">
        <v>0</v>
      </c>
      <c r="I1196" t="s">
        <v>68</v>
      </c>
    </row>
    <row r="1197" spans="1:9">
      <c r="A1197" t="s">
        <v>101</v>
      </c>
      <c r="B1197" t="s">
        <v>36</v>
      </c>
      <c r="C1197">
        <v>2022</v>
      </c>
      <c r="D1197" t="s">
        <v>71</v>
      </c>
      <c r="E1197">
        <v>20</v>
      </c>
      <c r="F1197">
        <v>9</v>
      </c>
      <c r="G1197">
        <v>11</v>
      </c>
      <c r="H1197">
        <v>2</v>
      </c>
      <c r="I1197" t="s">
        <v>12</v>
      </c>
    </row>
    <row r="1198" spans="1:9">
      <c r="A1198" t="s">
        <v>37</v>
      </c>
      <c r="B1198" t="s">
        <v>86</v>
      </c>
      <c r="C1198">
        <v>2022</v>
      </c>
      <c r="D1198" t="s">
        <v>71</v>
      </c>
      <c r="E1198">
        <v>13</v>
      </c>
      <c r="F1198">
        <v>13</v>
      </c>
      <c r="G1198">
        <v>0</v>
      </c>
      <c r="H1198">
        <v>0</v>
      </c>
      <c r="I1198" t="s">
        <v>12</v>
      </c>
    </row>
    <row r="1199" spans="1:9">
      <c r="A1199" t="s">
        <v>102</v>
      </c>
      <c r="B1199" t="s">
        <v>16</v>
      </c>
      <c r="C1199">
        <v>2022</v>
      </c>
      <c r="D1199" t="s">
        <v>71</v>
      </c>
      <c r="E1199">
        <v>15</v>
      </c>
      <c r="F1199">
        <v>17</v>
      </c>
      <c r="G1199">
        <v>-2</v>
      </c>
      <c r="H1199">
        <v>0</v>
      </c>
      <c r="I1199" t="s">
        <v>12</v>
      </c>
    </row>
    <row r="1200" spans="1:9">
      <c r="A1200" t="s">
        <v>39</v>
      </c>
      <c r="B1200" t="s">
        <v>87</v>
      </c>
      <c r="C1200">
        <v>2022</v>
      </c>
      <c r="D1200" t="s">
        <v>71</v>
      </c>
      <c r="E1200">
        <v>14</v>
      </c>
      <c r="F1200">
        <v>16</v>
      </c>
      <c r="G1200">
        <v>-2</v>
      </c>
      <c r="H1200">
        <v>0</v>
      </c>
      <c r="I1200" t="s">
        <v>12</v>
      </c>
    </row>
    <row r="1201" spans="1:9">
      <c r="A1201" t="s">
        <v>9</v>
      </c>
      <c r="B1201" t="s">
        <v>10</v>
      </c>
      <c r="C1201">
        <v>2022</v>
      </c>
      <c r="D1201" t="s">
        <v>74</v>
      </c>
      <c r="E1201">
        <v>3</v>
      </c>
      <c r="F1201">
        <v>2</v>
      </c>
      <c r="G1201">
        <v>1</v>
      </c>
      <c r="H1201">
        <v>18</v>
      </c>
      <c r="I1201" t="s">
        <v>12</v>
      </c>
    </row>
    <row r="1202" spans="1:9">
      <c r="A1202" t="s">
        <v>13</v>
      </c>
      <c r="B1202" t="s">
        <v>30</v>
      </c>
      <c r="C1202">
        <v>2022</v>
      </c>
      <c r="D1202" t="s">
        <v>74</v>
      </c>
      <c r="E1202">
        <v>9</v>
      </c>
      <c r="F1202">
        <v>19</v>
      </c>
      <c r="G1202">
        <v>-10</v>
      </c>
      <c r="H1202">
        <v>0</v>
      </c>
      <c r="I1202" t="s">
        <v>42</v>
      </c>
    </row>
    <row r="1203" spans="1:9">
      <c r="A1203" t="s">
        <v>100</v>
      </c>
      <c r="B1203" t="s">
        <v>14</v>
      </c>
      <c r="C1203">
        <v>2022</v>
      </c>
      <c r="D1203" t="s">
        <v>74</v>
      </c>
      <c r="E1203">
        <v>16</v>
      </c>
      <c r="F1203">
        <v>14</v>
      </c>
      <c r="G1203">
        <v>2</v>
      </c>
      <c r="H1203">
        <v>0</v>
      </c>
      <c r="I1203" t="s">
        <v>24</v>
      </c>
    </row>
    <row r="1204" spans="1:9">
      <c r="A1204" t="s">
        <v>17</v>
      </c>
      <c r="B1204" t="s">
        <v>18</v>
      </c>
      <c r="C1204">
        <v>2022</v>
      </c>
      <c r="D1204" t="s">
        <v>74</v>
      </c>
      <c r="E1204">
        <v>4</v>
      </c>
      <c r="F1204">
        <v>3</v>
      </c>
      <c r="G1204">
        <v>1</v>
      </c>
      <c r="H1204">
        <v>15</v>
      </c>
      <c r="I1204" t="s">
        <v>12</v>
      </c>
    </row>
    <row r="1205" spans="1:9">
      <c r="A1205" t="s">
        <v>46</v>
      </c>
      <c r="B1205" t="s">
        <v>33</v>
      </c>
      <c r="C1205">
        <v>2022</v>
      </c>
      <c r="D1205" t="s">
        <v>74</v>
      </c>
      <c r="E1205">
        <v>11</v>
      </c>
      <c r="F1205">
        <v>7</v>
      </c>
      <c r="G1205">
        <v>4</v>
      </c>
      <c r="H1205">
        <v>6</v>
      </c>
      <c r="I1205" t="s">
        <v>24</v>
      </c>
    </row>
    <row r="1206" spans="1:9">
      <c r="A1206" t="s">
        <v>20</v>
      </c>
      <c r="B1206" t="s">
        <v>87</v>
      </c>
      <c r="C1206">
        <v>2022</v>
      </c>
      <c r="D1206" t="s">
        <v>74</v>
      </c>
      <c r="E1206">
        <v>6</v>
      </c>
      <c r="F1206">
        <v>10</v>
      </c>
      <c r="G1206">
        <v>-4</v>
      </c>
      <c r="H1206">
        <v>1</v>
      </c>
      <c r="I1206" t="s">
        <v>24</v>
      </c>
    </row>
    <row r="1207" spans="1:9">
      <c r="A1207" t="s">
        <v>23</v>
      </c>
      <c r="B1207" t="s">
        <v>16</v>
      </c>
      <c r="C1207">
        <v>2022</v>
      </c>
      <c r="D1207" t="s">
        <v>74</v>
      </c>
      <c r="E1207">
        <v>19</v>
      </c>
      <c r="F1207">
        <v>17</v>
      </c>
      <c r="G1207">
        <v>2</v>
      </c>
      <c r="H1207">
        <v>0</v>
      </c>
      <c r="I1207" t="s">
        <v>24</v>
      </c>
    </row>
    <row r="1208" spans="1:9">
      <c r="A1208" t="s">
        <v>25</v>
      </c>
      <c r="B1208" t="s">
        <v>18</v>
      </c>
      <c r="C1208">
        <v>2022</v>
      </c>
      <c r="D1208" t="s">
        <v>74</v>
      </c>
      <c r="E1208">
        <v>1</v>
      </c>
      <c r="F1208">
        <v>1</v>
      </c>
      <c r="G1208">
        <v>0</v>
      </c>
      <c r="H1208">
        <v>25</v>
      </c>
      <c r="I1208" t="s">
        <v>12</v>
      </c>
    </row>
    <row r="1209" spans="1:9">
      <c r="A1209" t="s">
        <v>26</v>
      </c>
      <c r="B1209" t="s">
        <v>27</v>
      </c>
      <c r="C1209">
        <v>2022</v>
      </c>
      <c r="D1209" t="s">
        <v>74</v>
      </c>
      <c r="E1209">
        <v>5</v>
      </c>
      <c r="F1209">
        <v>5</v>
      </c>
      <c r="G1209">
        <v>0</v>
      </c>
      <c r="H1209">
        <v>10</v>
      </c>
      <c r="I1209" t="s">
        <v>12</v>
      </c>
    </row>
    <row r="1210" spans="1:9">
      <c r="A1210" t="s">
        <v>48</v>
      </c>
      <c r="B1210" t="s">
        <v>30</v>
      </c>
      <c r="C1210">
        <v>2022</v>
      </c>
      <c r="D1210" t="s">
        <v>74</v>
      </c>
      <c r="E1210">
        <v>10</v>
      </c>
      <c r="F1210">
        <v>8</v>
      </c>
      <c r="G1210">
        <v>2</v>
      </c>
      <c r="H1210">
        <v>4</v>
      </c>
      <c r="I1210" t="s">
        <v>24</v>
      </c>
    </row>
    <row r="1211" spans="1:9">
      <c r="A1211" t="s">
        <v>28</v>
      </c>
      <c r="B1211" t="s">
        <v>14</v>
      </c>
      <c r="C1211">
        <v>2022</v>
      </c>
      <c r="D1211" t="s">
        <v>74</v>
      </c>
      <c r="E1211">
        <v>20</v>
      </c>
      <c r="F1211">
        <v>15</v>
      </c>
      <c r="G1211">
        <v>5</v>
      </c>
      <c r="H1211">
        <v>0</v>
      </c>
      <c r="I1211" t="s">
        <v>24</v>
      </c>
    </row>
    <row r="1212" spans="1:9">
      <c r="A1212" t="s">
        <v>29</v>
      </c>
      <c r="B1212" t="s">
        <v>86</v>
      </c>
      <c r="C1212">
        <v>2022</v>
      </c>
      <c r="D1212" t="s">
        <v>74</v>
      </c>
      <c r="E1212">
        <v>14</v>
      </c>
      <c r="F1212">
        <v>11</v>
      </c>
      <c r="G1212">
        <v>3</v>
      </c>
      <c r="H1212">
        <v>0</v>
      </c>
      <c r="I1212" t="s">
        <v>24</v>
      </c>
    </row>
    <row r="1213" spans="1:9">
      <c r="A1213" t="s">
        <v>31</v>
      </c>
      <c r="B1213" t="s">
        <v>27</v>
      </c>
      <c r="C1213">
        <v>2022</v>
      </c>
      <c r="D1213" t="s">
        <v>74</v>
      </c>
      <c r="E1213">
        <v>7</v>
      </c>
      <c r="F1213">
        <v>6</v>
      </c>
      <c r="G1213">
        <v>1</v>
      </c>
      <c r="H1213">
        <v>8</v>
      </c>
      <c r="I1213" t="s">
        <v>12</v>
      </c>
    </row>
    <row r="1214" spans="1:9">
      <c r="A1214" t="s">
        <v>32</v>
      </c>
      <c r="B1214" t="s">
        <v>33</v>
      </c>
      <c r="C1214">
        <v>2022</v>
      </c>
      <c r="D1214" t="s">
        <v>74</v>
      </c>
      <c r="E1214">
        <v>8</v>
      </c>
      <c r="F1214">
        <v>9</v>
      </c>
      <c r="G1214">
        <v>-1</v>
      </c>
      <c r="H1214">
        <v>2</v>
      </c>
      <c r="I1214" t="s">
        <v>24</v>
      </c>
    </row>
    <row r="1215" spans="1:9">
      <c r="A1215" t="s">
        <v>34</v>
      </c>
      <c r="B1215" t="s">
        <v>10</v>
      </c>
      <c r="C1215">
        <v>2022</v>
      </c>
      <c r="D1215" t="s">
        <v>74</v>
      </c>
      <c r="E1215">
        <v>2</v>
      </c>
      <c r="F1215">
        <v>4</v>
      </c>
      <c r="G1215">
        <v>-2</v>
      </c>
      <c r="H1215">
        <v>13</v>
      </c>
      <c r="I1215" t="s">
        <v>12</v>
      </c>
    </row>
    <row r="1216" spans="1:9">
      <c r="A1216" t="s">
        <v>35</v>
      </c>
      <c r="B1216" t="s">
        <v>36</v>
      </c>
      <c r="C1216">
        <v>2022</v>
      </c>
      <c r="D1216" t="s">
        <v>74</v>
      </c>
      <c r="E1216">
        <v>17</v>
      </c>
      <c r="F1216">
        <v>12</v>
      </c>
      <c r="G1216">
        <v>5</v>
      </c>
      <c r="H1216">
        <v>0</v>
      </c>
      <c r="I1216" t="s">
        <v>24</v>
      </c>
    </row>
    <row r="1217" spans="1:9">
      <c r="A1217" t="s">
        <v>101</v>
      </c>
      <c r="B1217" t="s">
        <v>36</v>
      </c>
      <c r="C1217">
        <v>2022</v>
      </c>
      <c r="D1217" t="s">
        <v>74</v>
      </c>
      <c r="E1217">
        <v>18</v>
      </c>
      <c r="F1217">
        <v>18</v>
      </c>
      <c r="G1217">
        <v>0</v>
      </c>
      <c r="H1217">
        <v>0</v>
      </c>
      <c r="I1217" t="s">
        <v>53</v>
      </c>
    </row>
    <row r="1218" spans="1:9">
      <c r="A1218" t="s">
        <v>37</v>
      </c>
      <c r="B1218" t="s">
        <v>86</v>
      </c>
      <c r="C1218">
        <v>2022</v>
      </c>
      <c r="D1218" t="s">
        <v>74</v>
      </c>
      <c r="E1218">
        <v>13</v>
      </c>
      <c r="F1218">
        <v>20</v>
      </c>
      <c r="G1218">
        <v>-7</v>
      </c>
      <c r="H1218">
        <v>0</v>
      </c>
      <c r="I1218" t="s">
        <v>22</v>
      </c>
    </row>
    <row r="1219" spans="1:9">
      <c r="A1219" t="s">
        <v>102</v>
      </c>
      <c r="B1219" t="s">
        <v>16</v>
      </c>
      <c r="C1219">
        <v>2022</v>
      </c>
      <c r="D1219" t="s">
        <v>74</v>
      </c>
      <c r="E1219">
        <v>15</v>
      </c>
      <c r="F1219">
        <v>16</v>
      </c>
      <c r="G1219">
        <v>-1</v>
      </c>
      <c r="H1219">
        <v>0</v>
      </c>
      <c r="I1219" t="s">
        <v>24</v>
      </c>
    </row>
    <row r="1220" spans="1:9">
      <c r="A1220" t="s">
        <v>39</v>
      </c>
      <c r="B1220" t="s">
        <v>87</v>
      </c>
      <c r="C1220">
        <v>2022</v>
      </c>
      <c r="D1220" t="s">
        <v>74</v>
      </c>
      <c r="E1220">
        <v>12</v>
      </c>
      <c r="F1220">
        <v>13</v>
      </c>
      <c r="G1220">
        <v>-1</v>
      </c>
      <c r="H1220">
        <v>0</v>
      </c>
      <c r="I1220" t="s">
        <v>24</v>
      </c>
    </row>
    <row r="1221" spans="1:9">
      <c r="A1221" t="s">
        <v>9</v>
      </c>
      <c r="B1221" t="s">
        <v>10</v>
      </c>
      <c r="C1221">
        <v>2022</v>
      </c>
      <c r="D1221" t="s">
        <v>75</v>
      </c>
      <c r="E1221">
        <v>6</v>
      </c>
      <c r="F1221">
        <v>6</v>
      </c>
      <c r="G1221">
        <v>0</v>
      </c>
      <c r="H1221">
        <v>8</v>
      </c>
      <c r="I1221" t="s">
        <v>12</v>
      </c>
    </row>
    <row r="1222" spans="1:9">
      <c r="A1222" t="s">
        <v>13</v>
      </c>
      <c r="B1222" t="s">
        <v>30</v>
      </c>
      <c r="C1222">
        <v>2022</v>
      </c>
      <c r="D1222" t="s">
        <v>75</v>
      </c>
      <c r="E1222">
        <v>11</v>
      </c>
      <c r="F1222">
        <v>11</v>
      </c>
      <c r="G1222">
        <v>0</v>
      </c>
      <c r="H1222">
        <v>0</v>
      </c>
      <c r="I1222" t="s">
        <v>12</v>
      </c>
    </row>
    <row r="1223" spans="1:9">
      <c r="A1223" t="s">
        <v>100</v>
      </c>
      <c r="B1223" t="s">
        <v>14</v>
      </c>
      <c r="C1223">
        <v>2022</v>
      </c>
      <c r="D1223" t="s">
        <v>75</v>
      </c>
      <c r="E1223">
        <v>0</v>
      </c>
      <c r="F1223">
        <v>17</v>
      </c>
      <c r="G1223">
        <v>-17</v>
      </c>
      <c r="H1223">
        <v>0</v>
      </c>
      <c r="I1223" t="s">
        <v>19</v>
      </c>
    </row>
    <row r="1224" spans="1:9">
      <c r="A1224" t="s">
        <v>17</v>
      </c>
      <c r="B1224" t="s">
        <v>18</v>
      </c>
      <c r="C1224">
        <v>2022</v>
      </c>
      <c r="D1224" t="s">
        <v>75</v>
      </c>
      <c r="E1224">
        <v>4</v>
      </c>
      <c r="F1224">
        <v>4</v>
      </c>
      <c r="G1224">
        <v>0</v>
      </c>
      <c r="H1224">
        <v>12</v>
      </c>
      <c r="I1224" t="s">
        <v>12</v>
      </c>
    </row>
    <row r="1225" spans="1:9">
      <c r="A1225" t="s">
        <v>46</v>
      </c>
      <c r="B1225" t="s">
        <v>33</v>
      </c>
      <c r="C1225">
        <v>2022</v>
      </c>
      <c r="D1225" t="s">
        <v>75</v>
      </c>
      <c r="E1225">
        <v>14</v>
      </c>
      <c r="F1225">
        <v>13</v>
      </c>
      <c r="G1225">
        <v>1</v>
      </c>
      <c r="H1225">
        <v>0</v>
      </c>
      <c r="I1225" t="s">
        <v>12</v>
      </c>
    </row>
    <row r="1226" spans="1:9">
      <c r="A1226" t="s">
        <v>20</v>
      </c>
      <c r="B1226" t="s">
        <v>87</v>
      </c>
      <c r="C1226">
        <v>2022</v>
      </c>
      <c r="D1226" t="s">
        <v>75</v>
      </c>
      <c r="E1226">
        <v>5</v>
      </c>
      <c r="F1226">
        <v>7</v>
      </c>
      <c r="G1226">
        <v>-2</v>
      </c>
      <c r="H1226">
        <v>6</v>
      </c>
      <c r="I1226" t="s">
        <v>12</v>
      </c>
    </row>
    <row r="1227" spans="1:9">
      <c r="A1227" t="s">
        <v>23</v>
      </c>
      <c r="B1227" t="s">
        <v>16</v>
      </c>
      <c r="C1227">
        <v>2022</v>
      </c>
      <c r="D1227" t="s">
        <v>75</v>
      </c>
      <c r="E1227">
        <v>16</v>
      </c>
      <c r="F1227">
        <v>16</v>
      </c>
      <c r="G1227">
        <v>0</v>
      </c>
      <c r="H1227">
        <v>0</v>
      </c>
      <c r="I1227" t="s">
        <v>109</v>
      </c>
    </row>
    <row r="1228" spans="1:9">
      <c r="A1228" t="s">
        <v>25</v>
      </c>
      <c r="B1228" t="s">
        <v>18</v>
      </c>
      <c r="C1228">
        <v>2022</v>
      </c>
      <c r="D1228" t="s">
        <v>75</v>
      </c>
      <c r="E1228">
        <v>3</v>
      </c>
      <c r="F1228">
        <v>1</v>
      </c>
      <c r="G1228">
        <v>2</v>
      </c>
      <c r="H1228">
        <v>26</v>
      </c>
      <c r="I1228" t="s">
        <v>12</v>
      </c>
    </row>
    <row r="1229" spans="1:9">
      <c r="A1229" t="s">
        <v>26</v>
      </c>
      <c r="B1229" t="s">
        <v>27</v>
      </c>
      <c r="C1229">
        <v>2022</v>
      </c>
      <c r="D1229" t="s">
        <v>75</v>
      </c>
      <c r="E1229">
        <v>2</v>
      </c>
      <c r="F1229">
        <v>3</v>
      </c>
      <c r="G1229">
        <v>-1</v>
      </c>
      <c r="H1229">
        <v>15</v>
      </c>
      <c r="I1229" t="s">
        <v>12</v>
      </c>
    </row>
    <row r="1230" spans="1:9">
      <c r="A1230" t="s">
        <v>48</v>
      </c>
      <c r="B1230" t="s">
        <v>30</v>
      </c>
      <c r="C1230">
        <v>2022</v>
      </c>
      <c r="D1230" t="s">
        <v>75</v>
      </c>
      <c r="E1230">
        <v>20</v>
      </c>
      <c r="F1230">
        <v>8</v>
      </c>
      <c r="G1230">
        <v>12</v>
      </c>
      <c r="H1230">
        <v>4</v>
      </c>
      <c r="I1230" t="s">
        <v>12</v>
      </c>
    </row>
    <row r="1231" spans="1:9">
      <c r="A1231" t="s">
        <v>28</v>
      </c>
      <c r="B1231" t="s">
        <v>14</v>
      </c>
      <c r="C1231">
        <v>2022</v>
      </c>
      <c r="D1231" t="s">
        <v>75</v>
      </c>
      <c r="E1231">
        <v>0</v>
      </c>
      <c r="F1231">
        <v>10</v>
      </c>
      <c r="G1231">
        <v>-10</v>
      </c>
      <c r="H1231">
        <v>1</v>
      </c>
      <c r="I1231" t="s">
        <v>12</v>
      </c>
    </row>
    <row r="1232" spans="1:9">
      <c r="A1232" t="s">
        <v>29</v>
      </c>
      <c r="B1232" t="s">
        <v>86</v>
      </c>
      <c r="C1232">
        <v>2022</v>
      </c>
      <c r="D1232" t="s">
        <v>75</v>
      </c>
      <c r="E1232">
        <v>7</v>
      </c>
      <c r="F1232">
        <v>18</v>
      </c>
      <c r="G1232">
        <v>-11</v>
      </c>
      <c r="H1232">
        <v>0</v>
      </c>
      <c r="I1232" t="s">
        <v>110</v>
      </c>
    </row>
    <row r="1233" spans="1:9">
      <c r="A1233" t="s">
        <v>31</v>
      </c>
      <c r="B1233" t="s">
        <v>27</v>
      </c>
      <c r="C1233">
        <v>2022</v>
      </c>
      <c r="D1233" t="s">
        <v>75</v>
      </c>
      <c r="E1233">
        <v>1</v>
      </c>
      <c r="F1233">
        <v>2</v>
      </c>
      <c r="G1233">
        <v>-1</v>
      </c>
      <c r="H1233">
        <v>18</v>
      </c>
      <c r="I1233" t="s">
        <v>12</v>
      </c>
    </row>
    <row r="1234" spans="1:9">
      <c r="A1234" t="s">
        <v>32</v>
      </c>
      <c r="B1234" t="s">
        <v>33</v>
      </c>
      <c r="C1234">
        <v>2022</v>
      </c>
      <c r="D1234" t="s">
        <v>75</v>
      </c>
      <c r="E1234">
        <v>8</v>
      </c>
      <c r="F1234">
        <v>19</v>
      </c>
      <c r="G1234">
        <v>-11</v>
      </c>
      <c r="H1234">
        <v>0</v>
      </c>
      <c r="I1234" t="s">
        <v>19</v>
      </c>
    </row>
    <row r="1235" spans="1:9">
      <c r="A1235" t="s">
        <v>34</v>
      </c>
      <c r="B1235" t="s">
        <v>10</v>
      </c>
      <c r="C1235">
        <v>2022</v>
      </c>
      <c r="D1235" t="s">
        <v>75</v>
      </c>
      <c r="E1235">
        <v>12</v>
      </c>
      <c r="F1235">
        <v>5</v>
      </c>
      <c r="G1235">
        <v>7</v>
      </c>
      <c r="H1235">
        <v>10</v>
      </c>
      <c r="I1235" t="s">
        <v>12</v>
      </c>
    </row>
    <row r="1236" spans="1:9">
      <c r="A1236" t="s">
        <v>35</v>
      </c>
      <c r="B1236" t="s">
        <v>36</v>
      </c>
      <c r="C1236">
        <v>2022</v>
      </c>
      <c r="D1236" t="s">
        <v>75</v>
      </c>
      <c r="E1236">
        <v>18</v>
      </c>
      <c r="F1236">
        <v>9</v>
      </c>
      <c r="G1236">
        <v>9</v>
      </c>
      <c r="H1236">
        <v>2</v>
      </c>
      <c r="I1236" t="s">
        <v>12</v>
      </c>
    </row>
    <row r="1237" spans="1:9">
      <c r="A1237" t="s">
        <v>101</v>
      </c>
      <c r="B1237" t="s">
        <v>36</v>
      </c>
      <c r="C1237">
        <v>2022</v>
      </c>
      <c r="D1237" t="s">
        <v>75</v>
      </c>
      <c r="E1237">
        <v>19</v>
      </c>
      <c r="F1237">
        <v>14</v>
      </c>
      <c r="G1237">
        <v>5</v>
      </c>
      <c r="H1237">
        <v>0</v>
      </c>
      <c r="I1237" t="s">
        <v>12</v>
      </c>
    </row>
    <row r="1238" spans="1:9">
      <c r="A1238" t="s">
        <v>37</v>
      </c>
      <c r="B1238" t="s">
        <v>86</v>
      </c>
      <c r="C1238">
        <v>2022</v>
      </c>
      <c r="D1238" t="s">
        <v>75</v>
      </c>
      <c r="E1238">
        <v>9</v>
      </c>
      <c r="F1238">
        <v>12</v>
      </c>
      <c r="G1238">
        <v>-3</v>
      </c>
      <c r="H1238">
        <v>0</v>
      </c>
      <c r="I1238" t="s">
        <v>12</v>
      </c>
    </row>
    <row r="1239" spans="1:9">
      <c r="A1239" t="s">
        <v>102</v>
      </c>
      <c r="B1239" t="s">
        <v>16</v>
      </c>
      <c r="C1239">
        <v>2022</v>
      </c>
      <c r="D1239" t="s">
        <v>75</v>
      </c>
      <c r="E1239">
        <v>15</v>
      </c>
      <c r="F1239">
        <v>15</v>
      </c>
      <c r="G1239">
        <v>0</v>
      </c>
      <c r="H1239">
        <v>0</v>
      </c>
      <c r="I1239" t="s">
        <v>12</v>
      </c>
    </row>
    <row r="1240" spans="1:9">
      <c r="A1240" t="s">
        <v>39</v>
      </c>
      <c r="B1240" t="s">
        <v>87</v>
      </c>
      <c r="C1240">
        <v>2022</v>
      </c>
      <c r="D1240" t="s">
        <v>75</v>
      </c>
      <c r="E1240">
        <v>17</v>
      </c>
      <c r="F1240">
        <v>20</v>
      </c>
      <c r="G1240">
        <v>-3</v>
      </c>
      <c r="H1240">
        <v>0</v>
      </c>
      <c r="I1240" t="s">
        <v>99</v>
      </c>
    </row>
    <row r="1241" spans="1:9">
      <c r="A1241" t="s">
        <v>9</v>
      </c>
      <c r="B1241" t="s">
        <v>10</v>
      </c>
      <c r="C1241">
        <v>2022</v>
      </c>
      <c r="D1241" t="s">
        <v>76</v>
      </c>
      <c r="E1241">
        <v>8</v>
      </c>
      <c r="F1241">
        <v>8</v>
      </c>
      <c r="G1241">
        <v>0</v>
      </c>
      <c r="H1241">
        <v>4</v>
      </c>
      <c r="I1241" t="s">
        <v>12</v>
      </c>
    </row>
    <row r="1242" spans="1:9">
      <c r="A1242" t="s">
        <v>13</v>
      </c>
      <c r="B1242" t="s">
        <v>30</v>
      </c>
      <c r="C1242">
        <v>2022</v>
      </c>
      <c r="D1242" t="s">
        <v>76</v>
      </c>
      <c r="E1242">
        <v>7</v>
      </c>
      <c r="F1242">
        <v>7</v>
      </c>
      <c r="G1242">
        <v>0</v>
      </c>
      <c r="H1242">
        <v>6</v>
      </c>
      <c r="I1242" t="s">
        <v>12</v>
      </c>
    </row>
    <row r="1243" spans="1:9">
      <c r="A1243" t="s">
        <v>100</v>
      </c>
      <c r="B1243" t="s">
        <v>14</v>
      </c>
      <c r="C1243">
        <v>2022</v>
      </c>
      <c r="D1243" t="s">
        <v>76</v>
      </c>
      <c r="E1243">
        <v>9</v>
      </c>
      <c r="F1243">
        <v>10</v>
      </c>
      <c r="G1243">
        <v>-1</v>
      </c>
      <c r="H1243">
        <v>1</v>
      </c>
      <c r="I1243" t="s">
        <v>12</v>
      </c>
    </row>
    <row r="1244" spans="1:9">
      <c r="A1244" t="s">
        <v>17</v>
      </c>
      <c r="B1244" t="s">
        <v>18</v>
      </c>
      <c r="C1244">
        <v>2022</v>
      </c>
      <c r="D1244" t="s">
        <v>76</v>
      </c>
      <c r="E1244">
        <v>3</v>
      </c>
      <c r="F1244">
        <v>1</v>
      </c>
      <c r="G1244">
        <v>2</v>
      </c>
      <c r="H1244">
        <v>25</v>
      </c>
      <c r="I1244" t="s">
        <v>12</v>
      </c>
    </row>
    <row r="1245" spans="1:9">
      <c r="A1245" t="s">
        <v>46</v>
      </c>
      <c r="B1245" t="s">
        <v>33</v>
      </c>
      <c r="C1245">
        <v>2022</v>
      </c>
      <c r="D1245" t="s">
        <v>76</v>
      </c>
      <c r="E1245">
        <v>14</v>
      </c>
      <c r="F1245">
        <v>13</v>
      </c>
      <c r="G1245">
        <v>1</v>
      </c>
      <c r="H1245">
        <v>0</v>
      </c>
      <c r="I1245" t="s">
        <v>12</v>
      </c>
    </row>
    <row r="1246" spans="1:9">
      <c r="A1246" t="s">
        <v>20</v>
      </c>
      <c r="B1246" t="s">
        <v>87</v>
      </c>
      <c r="C1246">
        <v>2022</v>
      </c>
      <c r="D1246" t="s">
        <v>76</v>
      </c>
      <c r="E1246">
        <v>12</v>
      </c>
      <c r="F1246">
        <v>9</v>
      </c>
      <c r="G1246">
        <v>3</v>
      </c>
      <c r="H1246">
        <v>2</v>
      </c>
      <c r="I1246" t="s">
        <v>12</v>
      </c>
    </row>
    <row r="1247" spans="1:9">
      <c r="A1247" t="s">
        <v>23</v>
      </c>
      <c r="B1247" t="s">
        <v>16</v>
      </c>
      <c r="C1247">
        <v>2022</v>
      </c>
      <c r="D1247" t="s">
        <v>76</v>
      </c>
      <c r="E1247">
        <v>13</v>
      </c>
      <c r="F1247">
        <v>20</v>
      </c>
      <c r="G1247">
        <v>-7</v>
      </c>
      <c r="H1247">
        <v>0</v>
      </c>
      <c r="I1247" t="s">
        <v>62</v>
      </c>
    </row>
    <row r="1248" spans="1:9">
      <c r="A1248" t="s">
        <v>25</v>
      </c>
      <c r="B1248" t="s">
        <v>18</v>
      </c>
      <c r="C1248">
        <v>2022</v>
      </c>
      <c r="D1248" t="s">
        <v>76</v>
      </c>
      <c r="E1248">
        <v>4</v>
      </c>
      <c r="F1248">
        <v>3</v>
      </c>
      <c r="G1248">
        <v>1</v>
      </c>
      <c r="H1248">
        <v>15</v>
      </c>
      <c r="I1248" t="s">
        <v>12</v>
      </c>
    </row>
    <row r="1249" spans="1:9">
      <c r="A1249" t="s">
        <v>26</v>
      </c>
      <c r="B1249" t="s">
        <v>27</v>
      </c>
      <c r="C1249">
        <v>2022</v>
      </c>
      <c r="D1249" t="s">
        <v>76</v>
      </c>
      <c r="E1249">
        <v>2</v>
      </c>
      <c r="F1249">
        <v>2</v>
      </c>
      <c r="G1249">
        <v>0</v>
      </c>
      <c r="H1249">
        <v>18</v>
      </c>
      <c r="I1249" t="s">
        <v>12</v>
      </c>
    </row>
    <row r="1250" spans="1:9">
      <c r="A1250" t="s">
        <v>48</v>
      </c>
      <c r="B1250" t="s">
        <v>30</v>
      </c>
      <c r="C1250">
        <v>2022</v>
      </c>
      <c r="D1250" t="s">
        <v>76</v>
      </c>
      <c r="E1250">
        <v>10</v>
      </c>
      <c r="F1250">
        <v>12</v>
      </c>
      <c r="G1250">
        <v>-2</v>
      </c>
      <c r="H1250">
        <v>0</v>
      </c>
      <c r="I1250" t="s">
        <v>12</v>
      </c>
    </row>
    <row r="1251" spans="1:9">
      <c r="A1251" t="s">
        <v>28</v>
      </c>
      <c r="B1251" t="s">
        <v>14</v>
      </c>
      <c r="C1251">
        <v>2022</v>
      </c>
      <c r="D1251" t="s">
        <v>76</v>
      </c>
      <c r="E1251">
        <v>18</v>
      </c>
      <c r="F1251">
        <v>14</v>
      </c>
      <c r="G1251">
        <v>4</v>
      </c>
      <c r="H1251">
        <v>0</v>
      </c>
      <c r="I1251" t="s">
        <v>12</v>
      </c>
    </row>
    <row r="1252" spans="1:9">
      <c r="A1252" t="s">
        <v>29</v>
      </c>
      <c r="B1252" t="s">
        <v>86</v>
      </c>
      <c r="C1252">
        <v>2022</v>
      </c>
      <c r="D1252" t="s">
        <v>76</v>
      </c>
      <c r="E1252">
        <v>17</v>
      </c>
      <c r="F1252">
        <v>11</v>
      </c>
      <c r="G1252">
        <v>6</v>
      </c>
      <c r="H1252">
        <v>0</v>
      </c>
      <c r="I1252" t="s">
        <v>12</v>
      </c>
    </row>
    <row r="1253" spans="1:9">
      <c r="A1253" t="s">
        <v>31</v>
      </c>
      <c r="B1253" t="s">
        <v>27</v>
      </c>
      <c r="C1253">
        <v>2022</v>
      </c>
      <c r="D1253" t="s">
        <v>76</v>
      </c>
      <c r="E1253">
        <v>1</v>
      </c>
      <c r="F1253">
        <v>4</v>
      </c>
      <c r="G1253">
        <v>-3</v>
      </c>
      <c r="H1253">
        <v>12</v>
      </c>
      <c r="I1253" t="s">
        <v>12</v>
      </c>
    </row>
    <row r="1254" spans="1:9">
      <c r="A1254" t="s">
        <v>32</v>
      </c>
      <c r="B1254" t="s">
        <v>33</v>
      </c>
      <c r="C1254">
        <v>2022</v>
      </c>
      <c r="D1254" t="s">
        <v>76</v>
      </c>
      <c r="E1254">
        <v>5</v>
      </c>
      <c r="F1254">
        <v>6</v>
      </c>
      <c r="G1254">
        <v>-1</v>
      </c>
      <c r="H1254">
        <v>9</v>
      </c>
      <c r="I1254" t="s">
        <v>12</v>
      </c>
    </row>
    <row r="1255" spans="1:9">
      <c r="A1255" t="s">
        <v>34</v>
      </c>
      <c r="B1255" t="s">
        <v>10</v>
      </c>
      <c r="C1255">
        <v>2022</v>
      </c>
      <c r="D1255" t="s">
        <v>76</v>
      </c>
      <c r="E1255">
        <v>6</v>
      </c>
      <c r="F1255">
        <v>5</v>
      </c>
      <c r="G1255">
        <v>1</v>
      </c>
      <c r="H1255">
        <v>10</v>
      </c>
      <c r="I1255" t="s">
        <v>12</v>
      </c>
    </row>
    <row r="1256" spans="1:9">
      <c r="A1256" t="s">
        <v>35</v>
      </c>
      <c r="B1256" t="s">
        <v>36</v>
      </c>
      <c r="C1256">
        <v>2022</v>
      </c>
      <c r="D1256" t="s">
        <v>76</v>
      </c>
      <c r="E1256">
        <v>16</v>
      </c>
      <c r="F1256">
        <v>18</v>
      </c>
      <c r="G1256">
        <v>-2</v>
      </c>
      <c r="H1256">
        <v>0</v>
      </c>
      <c r="I1256" t="s">
        <v>90</v>
      </c>
    </row>
    <row r="1257" spans="1:9">
      <c r="A1257" t="s">
        <v>101</v>
      </c>
      <c r="B1257" t="s">
        <v>36</v>
      </c>
      <c r="C1257">
        <v>2022</v>
      </c>
      <c r="D1257" t="s">
        <v>76</v>
      </c>
      <c r="E1257">
        <v>19</v>
      </c>
      <c r="F1257">
        <v>15</v>
      </c>
      <c r="G1257">
        <v>4</v>
      </c>
      <c r="H1257">
        <v>0</v>
      </c>
      <c r="I1257" t="s">
        <v>24</v>
      </c>
    </row>
    <row r="1258" spans="1:9">
      <c r="A1258" t="s">
        <v>37</v>
      </c>
      <c r="B1258" t="s">
        <v>86</v>
      </c>
      <c r="C1258">
        <v>2022</v>
      </c>
      <c r="D1258" t="s">
        <v>76</v>
      </c>
      <c r="E1258">
        <v>11</v>
      </c>
      <c r="F1258">
        <v>17</v>
      </c>
      <c r="G1258">
        <v>-6</v>
      </c>
      <c r="H1258">
        <v>0</v>
      </c>
      <c r="I1258" t="s">
        <v>24</v>
      </c>
    </row>
    <row r="1259" spans="1:9">
      <c r="A1259" t="s">
        <v>102</v>
      </c>
      <c r="B1259" t="s">
        <v>16</v>
      </c>
      <c r="C1259">
        <v>2022</v>
      </c>
      <c r="D1259" t="s">
        <v>76</v>
      </c>
      <c r="E1259">
        <v>15</v>
      </c>
      <c r="F1259">
        <v>19</v>
      </c>
      <c r="G1259">
        <v>-4</v>
      </c>
      <c r="H1259">
        <v>0</v>
      </c>
      <c r="I1259" t="s">
        <v>49</v>
      </c>
    </row>
    <row r="1260" spans="1:9">
      <c r="A1260" t="s">
        <v>39</v>
      </c>
      <c r="B1260" t="s">
        <v>87</v>
      </c>
      <c r="C1260">
        <v>2022</v>
      </c>
      <c r="D1260" t="s">
        <v>76</v>
      </c>
      <c r="E1260">
        <v>20</v>
      </c>
      <c r="F1260">
        <v>16</v>
      </c>
      <c r="G1260">
        <v>4</v>
      </c>
      <c r="H1260">
        <v>0</v>
      </c>
      <c r="I1260" t="s">
        <v>24</v>
      </c>
    </row>
    <row r="1261" spans="1:9">
      <c r="A1261" t="s">
        <v>9</v>
      </c>
      <c r="B1261" t="s">
        <v>10</v>
      </c>
      <c r="C1261">
        <v>2022</v>
      </c>
      <c r="D1261" t="s">
        <v>79</v>
      </c>
      <c r="E1261">
        <v>15</v>
      </c>
      <c r="F1261">
        <v>10</v>
      </c>
      <c r="G1261">
        <v>5</v>
      </c>
      <c r="H1261">
        <v>1</v>
      </c>
      <c r="I1261" t="s">
        <v>12</v>
      </c>
    </row>
    <row r="1262" spans="1:9">
      <c r="A1262" t="s">
        <v>13</v>
      </c>
      <c r="B1262" t="s">
        <v>30</v>
      </c>
      <c r="C1262">
        <v>2022</v>
      </c>
      <c r="D1262" t="s">
        <v>79</v>
      </c>
      <c r="E1262">
        <v>7</v>
      </c>
      <c r="F1262">
        <v>16</v>
      </c>
      <c r="G1262">
        <v>-9</v>
      </c>
      <c r="H1262">
        <v>0</v>
      </c>
      <c r="I1262" t="s">
        <v>111</v>
      </c>
    </row>
    <row r="1263" spans="1:9">
      <c r="A1263" t="s">
        <v>15</v>
      </c>
      <c r="B1263" t="s">
        <v>14</v>
      </c>
      <c r="C1263">
        <v>2022</v>
      </c>
      <c r="D1263" t="s">
        <v>79</v>
      </c>
      <c r="E1263">
        <v>17</v>
      </c>
      <c r="F1263">
        <v>12</v>
      </c>
      <c r="G1263">
        <v>5</v>
      </c>
      <c r="H1263">
        <v>0</v>
      </c>
      <c r="I1263" t="s">
        <v>12</v>
      </c>
    </row>
    <row r="1264" spans="1:9">
      <c r="A1264" t="s">
        <v>17</v>
      </c>
      <c r="B1264" t="s">
        <v>18</v>
      </c>
      <c r="C1264">
        <v>2022</v>
      </c>
      <c r="D1264" t="s">
        <v>79</v>
      </c>
      <c r="E1264">
        <v>1</v>
      </c>
      <c r="F1264">
        <v>4</v>
      </c>
      <c r="G1264">
        <v>-3</v>
      </c>
      <c r="H1264">
        <v>12</v>
      </c>
      <c r="I1264" t="s">
        <v>12</v>
      </c>
    </row>
    <row r="1265" spans="1:9">
      <c r="A1265" t="s">
        <v>46</v>
      </c>
      <c r="B1265" t="s">
        <v>33</v>
      </c>
      <c r="C1265">
        <v>2022</v>
      </c>
      <c r="D1265" t="s">
        <v>79</v>
      </c>
      <c r="E1265">
        <v>14</v>
      </c>
      <c r="F1265">
        <v>17</v>
      </c>
      <c r="G1265">
        <v>-3</v>
      </c>
      <c r="H1265">
        <v>0</v>
      </c>
      <c r="I1265" t="s">
        <v>61</v>
      </c>
    </row>
    <row r="1266" spans="1:9">
      <c r="A1266" t="s">
        <v>20</v>
      </c>
      <c r="B1266" t="s">
        <v>87</v>
      </c>
      <c r="C1266">
        <v>2022</v>
      </c>
      <c r="D1266" t="s">
        <v>79</v>
      </c>
      <c r="E1266">
        <v>8</v>
      </c>
      <c r="F1266">
        <v>15</v>
      </c>
      <c r="G1266">
        <v>-7</v>
      </c>
      <c r="H1266">
        <v>0</v>
      </c>
      <c r="I1266" t="s">
        <v>112</v>
      </c>
    </row>
    <row r="1267" spans="1:9">
      <c r="A1267" t="s">
        <v>23</v>
      </c>
      <c r="B1267" t="s">
        <v>16</v>
      </c>
      <c r="C1267">
        <v>2022</v>
      </c>
      <c r="D1267" t="s">
        <v>79</v>
      </c>
      <c r="E1267">
        <v>10</v>
      </c>
      <c r="F1267">
        <v>9</v>
      </c>
      <c r="G1267">
        <v>1</v>
      </c>
      <c r="H1267">
        <v>2</v>
      </c>
      <c r="I1267" t="s">
        <v>12</v>
      </c>
    </row>
    <row r="1268" spans="1:9">
      <c r="A1268" t="s">
        <v>25</v>
      </c>
      <c r="B1268" t="s">
        <v>18</v>
      </c>
      <c r="C1268">
        <v>2022</v>
      </c>
      <c r="D1268" t="s">
        <v>79</v>
      </c>
      <c r="E1268">
        <v>4</v>
      </c>
      <c r="F1268">
        <v>1</v>
      </c>
      <c r="G1268">
        <v>3</v>
      </c>
      <c r="H1268">
        <v>25</v>
      </c>
      <c r="I1268" t="s">
        <v>12</v>
      </c>
    </row>
    <row r="1269" spans="1:9">
      <c r="A1269" t="s">
        <v>26</v>
      </c>
      <c r="B1269" t="s">
        <v>27</v>
      </c>
      <c r="C1269">
        <v>2022</v>
      </c>
      <c r="D1269" t="s">
        <v>79</v>
      </c>
      <c r="E1269">
        <v>3</v>
      </c>
      <c r="F1269">
        <v>3</v>
      </c>
      <c r="G1269">
        <v>0</v>
      </c>
      <c r="H1269">
        <v>15</v>
      </c>
      <c r="I1269" t="s">
        <v>12</v>
      </c>
    </row>
    <row r="1270" spans="1:9">
      <c r="A1270" t="s">
        <v>48</v>
      </c>
      <c r="B1270" t="s">
        <v>30</v>
      </c>
      <c r="C1270">
        <v>2022</v>
      </c>
      <c r="D1270" t="s">
        <v>79</v>
      </c>
      <c r="E1270">
        <v>5</v>
      </c>
      <c r="F1270">
        <v>6</v>
      </c>
      <c r="G1270">
        <v>-1</v>
      </c>
      <c r="H1270">
        <v>8</v>
      </c>
      <c r="I1270" t="s">
        <v>12</v>
      </c>
    </row>
    <row r="1271" spans="1:9">
      <c r="A1271" t="s">
        <v>28</v>
      </c>
      <c r="B1271" t="s">
        <v>14</v>
      </c>
      <c r="C1271">
        <v>2022</v>
      </c>
      <c r="D1271" t="s">
        <v>79</v>
      </c>
      <c r="E1271">
        <v>13</v>
      </c>
      <c r="F1271">
        <v>13</v>
      </c>
      <c r="G1271">
        <v>0</v>
      </c>
      <c r="H1271">
        <v>0</v>
      </c>
      <c r="I1271" t="s">
        <v>24</v>
      </c>
    </row>
    <row r="1272" spans="1:9">
      <c r="A1272" t="s">
        <v>29</v>
      </c>
      <c r="B1272" t="s">
        <v>86</v>
      </c>
      <c r="C1272">
        <v>2022</v>
      </c>
      <c r="D1272" t="s">
        <v>79</v>
      </c>
      <c r="E1272">
        <v>9</v>
      </c>
      <c r="F1272">
        <v>8</v>
      </c>
      <c r="G1272">
        <v>1</v>
      </c>
      <c r="H1272">
        <v>4</v>
      </c>
      <c r="I1272" t="s">
        <v>12</v>
      </c>
    </row>
    <row r="1273" spans="1:9">
      <c r="A1273" t="s">
        <v>31</v>
      </c>
      <c r="B1273" t="s">
        <v>27</v>
      </c>
      <c r="C1273">
        <v>2022</v>
      </c>
      <c r="D1273" t="s">
        <v>79</v>
      </c>
      <c r="E1273">
        <v>2</v>
      </c>
      <c r="F1273">
        <v>2</v>
      </c>
      <c r="G1273">
        <v>0</v>
      </c>
      <c r="H1273">
        <v>19</v>
      </c>
      <c r="I1273" t="s">
        <v>12</v>
      </c>
    </row>
    <row r="1274" spans="1:9">
      <c r="A1274" t="s">
        <v>32</v>
      </c>
      <c r="B1274" t="s">
        <v>33</v>
      </c>
      <c r="C1274">
        <v>2022</v>
      </c>
      <c r="D1274" t="s">
        <v>79</v>
      </c>
      <c r="E1274">
        <v>11</v>
      </c>
      <c r="F1274">
        <v>7</v>
      </c>
      <c r="G1274">
        <v>4</v>
      </c>
      <c r="H1274">
        <v>6</v>
      </c>
      <c r="I1274" t="s">
        <v>12</v>
      </c>
    </row>
    <row r="1275" spans="1:9">
      <c r="A1275" t="s">
        <v>34</v>
      </c>
      <c r="B1275" t="s">
        <v>10</v>
      </c>
      <c r="C1275">
        <v>2022</v>
      </c>
      <c r="D1275" t="s">
        <v>79</v>
      </c>
      <c r="E1275">
        <v>6</v>
      </c>
      <c r="F1275">
        <v>5</v>
      </c>
      <c r="G1275">
        <v>1</v>
      </c>
      <c r="H1275">
        <v>10</v>
      </c>
      <c r="I1275" t="s">
        <v>12</v>
      </c>
    </row>
    <row r="1276" spans="1:9">
      <c r="A1276" t="s">
        <v>35</v>
      </c>
      <c r="B1276" t="s">
        <v>36</v>
      </c>
      <c r="C1276">
        <v>2022</v>
      </c>
      <c r="D1276" t="s">
        <v>79</v>
      </c>
      <c r="E1276">
        <v>16</v>
      </c>
      <c r="F1276">
        <v>14</v>
      </c>
      <c r="G1276">
        <v>2</v>
      </c>
      <c r="H1276">
        <v>0</v>
      </c>
      <c r="I1276" t="s">
        <v>22</v>
      </c>
    </row>
    <row r="1277" spans="1:9">
      <c r="A1277" t="s">
        <v>101</v>
      </c>
      <c r="B1277" t="s">
        <v>36</v>
      </c>
      <c r="C1277">
        <v>2022</v>
      </c>
      <c r="D1277" t="s">
        <v>79</v>
      </c>
      <c r="E1277">
        <v>18</v>
      </c>
      <c r="F1277">
        <v>18</v>
      </c>
      <c r="G1277">
        <v>0</v>
      </c>
      <c r="H1277">
        <v>0</v>
      </c>
      <c r="I1277" t="s">
        <v>49</v>
      </c>
    </row>
    <row r="1278" spans="1:9">
      <c r="A1278" t="s">
        <v>37</v>
      </c>
      <c r="B1278" t="s">
        <v>86</v>
      </c>
      <c r="C1278">
        <v>2022</v>
      </c>
      <c r="D1278" t="s">
        <v>79</v>
      </c>
      <c r="E1278">
        <v>19</v>
      </c>
      <c r="F1278">
        <v>19</v>
      </c>
      <c r="G1278">
        <v>0</v>
      </c>
      <c r="H1278">
        <v>0</v>
      </c>
      <c r="I1278" t="s">
        <v>81</v>
      </c>
    </row>
    <row r="1279" spans="1:9">
      <c r="A1279" t="s">
        <v>102</v>
      </c>
      <c r="B1279" t="s">
        <v>16</v>
      </c>
      <c r="C1279">
        <v>2022</v>
      </c>
      <c r="D1279" t="s">
        <v>79</v>
      </c>
      <c r="E1279">
        <v>0</v>
      </c>
      <c r="F1279">
        <v>20</v>
      </c>
      <c r="G1279">
        <v>-20</v>
      </c>
      <c r="H1279">
        <v>0</v>
      </c>
      <c r="I1279" t="s">
        <v>84</v>
      </c>
    </row>
    <row r="1280" spans="1:9">
      <c r="A1280" t="s">
        <v>39</v>
      </c>
      <c r="B1280" t="s">
        <v>87</v>
      </c>
      <c r="C1280">
        <v>2022</v>
      </c>
      <c r="D1280" t="s">
        <v>79</v>
      </c>
      <c r="E1280">
        <v>12</v>
      </c>
      <c r="F1280">
        <v>11</v>
      </c>
      <c r="G1280">
        <v>1</v>
      </c>
      <c r="H1280">
        <v>0</v>
      </c>
      <c r="I1280" t="s">
        <v>12</v>
      </c>
    </row>
    <row r="1281" spans="1:9">
      <c r="A1281" t="s">
        <v>9</v>
      </c>
      <c r="B1281" t="s">
        <v>10</v>
      </c>
      <c r="C1281">
        <v>2022</v>
      </c>
      <c r="D1281" t="s">
        <v>80</v>
      </c>
      <c r="E1281">
        <v>3</v>
      </c>
      <c r="F1281">
        <v>9</v>
      </c>
      <c r="G1281">
        <v>-6</v>
      </c>
      <c r="H1281">
        <v>2</v>
      </c>
      <c r="I1281" t="s">
        <v>12</v>
      </c>
    </row>
    <row r="1282" spans="1:9">
      <c r="A1282" t="s">
        <v>13</v>
      </c>
      <c r="B1282" t="s">
        <v>30</v>
      </c>
      <c r="C1282">
        <v>2022</v>
      </c>
      <c r="D1282" t="s">
        <v>80</v>
      </c>
      <c r="E1282">
        <v>5</v>
      </c>
      <c r="F1282">
        <v>18</v>
      </c>
      <c r="G1282">
        <v>-13</v>
      </c>
      <c r="H1282">
        <v>0</v>
      </c>
      <c r="I1282" t="s">
        <v>42</v>
      </c>
    </row>
    <row r="1283" spans="1:9">
      <c r="A1283" t="s">
        <v>100</v>
      </c>
      <c r="B1283" t="s">
        <v>14</v>
      </c>
      <c r="C1283">
        <v>2022</v>
      </c>
      <c r="D1283" t="s">
        <v>80</v>
      </c>
      <c r="E1283">
        <v>13</v>
      </c>
      <c r="F1283">
        <v>8</v>
      </c>
      <c r="G1283">
        <v>5</v>
      </c>
      <c r="H1283">
        <v>4</v>
      </c>
      <c r="I1283" t="s">
        <v>12</v>
      </c>
    </row>
    <row r="1284" spans="1:9">
      <c r="A1284" t="s">
        <v>17</v>
      </c>
      <c r="B1284" t="s">
        <v>18</v>
      </c>
      <c r="C1284">
        <v>2022</v>
      </c>
      <c r="D1284" t="s">
        <v>80</v>
      </c>
      <c r="E1284">
        <v>2</v>
      </c>
      <c r="F1284">
        <v>1</v>
      </c>
      <c r="G1284">
        <v>1</v>
      </c>
      <c r="H1284">
        <v>25</v>
      </c>
      <c r="I1284" t="s">
        <v>12</v>
      </c>
    </row>
    <row r="1285" spans="1:9">
      <c r="A1285" t="s">
        <v>46</v>
      </c>
      <c r="B1285" t="s">
        <v>33</v>
      </c>
      <c r="C1285">
        <v>2022</v>
      </c>
      <c r="D1285" t="s">
        <v>80</v>
      </c>
      <c r="E1285">
        <v>16</v>
      </c>
      <c r="F1285">
        <v>5</v>
      </c>
      <c r="G1285">
        <v>11</v>
      </c>
      <c r="H1285">
        <v>10</v>
      </c>
      <c r="I1285" t="s">
        <v>12</v>
      </c>
    </row>
    <row r="1286" spans="1:9">
      <c r="A1286" t="s">
        <v>20</v>
      </c>
      <c r="B1286" t="s">
        <v>87</v>
      </c>
      <c r="C1286">
        <v>2022</v>
      </c>
      <c r="D1286" t="s">
        <v>80</v>
      </c>
      <c r="E1286">
        <v>15</v>
      </c>
      <c r="F1286">
        <v>11</v>
      </c>
      <c r="G1286">
        <v>4</v>
      </c>
      <c r="H1286">
        <v>0</v>
      </c>
      <c r="I1286" t="s">
        <v>12</v>
      </c>
    </row>
    <row r="1287" spans="1:9">
      <c r="A1287" t="s">
        <v>23</v>
      </c>
      <c r="B1287" t="s">
        <v>16</v>
      </c>
      <c r="C1287">
        <v>2022</v>
      </c>
      <c r="D1287" t="s">
        <v>80</v>
      </c>
      <c r="E1287">
        <v>9</v>
      </c>
      <c r="F1287">
        <v>12</v>
      </c>
      <c r="G1287">
        <v>-3</v>
      </c>
      <c r="H1287">
        <v>0</v>
      </c>
      <c r="I1287" t="s">
        <v>12</v>
      </c>
    </row>
    <row r="1288" spans="1:9">
      <c r="A1288" t="s">
        <v>25</v>
      </c>
      <c r="B1288" t="s">
        <v>18</v>
      </c>
      <c r="C1288">
        <v>2022</v>
      </c>
      <c r="D1288" t="s">
        <v>80</v>
      </c>
      <c r="E1288">
        <v>8</v>
      </c>
      <c r="F1288">
        <v>7</v>
      </c>
      <c r="G1288">
        <v>1</v>
      </c>
      <c r="H1288">
        <v>6</v>
      </c>
      <c r="I1288" t="s">
        <v>12</v>
      </c>
    </row>
    <row r="1289" spans="1:9">
      <c r="A1289" t="s">
        <v>26</v>
      </c>
      <c r="B1289" t="s">
        <v>27</v>
      </c>
      <c r="C1289">
        <v>2022</v>
      </c>
      <c r="D1289" t="s">
        <v>80</v>
      </c>
      <c r="E1289">
        <v>4</v>
      </c>
      <c r="F1289">
        <v>3</v>
      </c>
      <c r="G1289">
        <v>1</v>
      </c>
      <c r="H1289">
        <v>15</v>
      </c>
      <c r="I1289" t="s">
        <v>12</v>
      </c>
    </row>
    <row r="1290" spans="1:9">
      <c r="A1290" t="s">
        <v>48</v>
      </c>
      <c r="B1290" t="s">
        <v>30</v>
      </c>
      <c r="C1290">
        <v>2022</v>
      </c>
      <c r="D1290" t="s">
        <v>80</v>
      </c>
      <c r="E1290">
        <v>17</v>
      </c>
      <c r="F1290">
        <v>16</v>
      </c>
      <c r="G1290">
        <v>1</v>
      </c>
      <c r="H1290">
        <v>0</v>
      </c>
      <c r="I1290" t="s">
        <v>42</v>
      </c>
    </row>
    <row r="1291" spans="1:9">
      <c r="A1291" t="s">
        <v>28</v>
      </c>
      <c r="B1291" t="s">
        <v>14</v>
      </c>
      <c r="C1291">
        <v>2022</v>
      </c>
      <c r="D1291" t="s">
        <v>80</v>
      </c>
      <c r="E1291">
        <v>11</v>
      </c>
      <c r="F1291">
        <v>6</v>
      </c>
      <c r="G1291">
        <v>5</v>
      </c>
      <c r="H1291">
        <v>8</v>
      </c>
      <c r="I1291" t="s">
        <v>12</v>
      </c>
    </row>
    <row r="1292" spans="1:9">
      <c r="A1292" t="s">
        <v>29</v>
      </c>
      <c r="B1292" t="s">
        <v>86</v>
      </c>
      <c r="C1292">
        <v>2022</v>
      </c>
      <c r="D1292" t="s">
        <v>80</v>
      </c>
      <c r="E1292">
        <v>7</v>
      </c>
      <c r="F1292">
        <v>10</v>
      </c>
      <c r="G1292">
        <v>-3</v>
      </c>
      <c r="H1292">
        <v>1</v>
      </c>
      <c r="I1292" t="s">
        <v>12</v>
      </c>
    </row>
    <row r="1293" spans="1:9">
      <c r="A1293" t="s">
        <v>31</v>
      </c>
      <c r="B1293" t="s">
        <v>27</v>
      </c>
      <c r="C1293">
        <v>2022</v>
      </c>
      <c r="D1293" t="s">
        <v>80</v>
      </c>
      <c r="E1293">
        <v>1</v>
      </c>
      <c r="F1293">
        <v>2</v>
      </c>
      <c r="G1293">
        <v>-1</v>
      </c>
      <c r="H1293">
        <v>18</v>
      </c>
      <c r="I1293" t="s">
        <v>12</v>
      </c>
    </row>
    <row r="1294" spans="1:9">
      <c r="A1294" t="s">
        <v>32</v>
      </c>
      <c r="B1294" t="s">
        <v>33</v>
      </c>
      <c r="C1294">
        <v>2022</v>
      </c>
      <c r="D1294" t="s">
        <v>80</v>
      </c>
      <c r="E1294">
        <v>6</v>
      </c>
      <c r="F1294">
        <v>4</v>
      </c>
      <c r="G1294">
        <v>2</v>
      </c>
      <c r="H1294">
        <v>12</v>
      </c>
      <c r="I1294" t="s">
        <v>12</v>
      </c>
    </row>
    <row r="1295" spans="1:9">
      <c r="A1295" t="s">
        <v>34</v>
      </c>
      <c r="B1295" t="s">
        <v>10</v>
      </c>
      <c r="C1295">
        <v>2022</v>
      </c>
      <c r="D1295" t="s">
        <v>80</v>
      </c>
      <c r="E1295">
        <v>0</v>
      </c>
      <c r="F1295">
        <v>14</v>
      </c>
      <c r="G1295">
        <v>-14</v>
      </c>
      <c r="H1295">
        <v>0</v>
      </c>
      <c r="I1295" t="s">
        <v>53</v>
      </c>
    </row>
    <row r="1296" spans="1:9">
      <c r="A1296" t="s">
        <v>35</v>
      </c>
      <c r="B1296" t="s">
        <v>36</v>
      </c>
      <c r="C1296">
        <v>2022</v>
      </c>
      <c r="D1296" t="s">
        <v>80</v>
      </c>
      <c r="E1296">
        <v>18</v>
      </c>
      <c r="F1296">
        <v>17</v>
      </c>
      <c r="G1296">
        <v>1</v>
      </c>
      <c r="H1296">
        <v>0</v>
      </c>
      <c r="I1296" t="s">
        <v>22</v>
      </c>
    </row>
    <row r="1297" spans="1:9">
      <c r="A1297" t="s">
        <v>101</v>
      </c>
      <c r="B1297" t="s">
        <v>36</v>
      </c>
      <c r="C1297">
        <v>2022</v>
      </c>
      <c r="D1297" t="s">
        <v>80</v>
      </c>
      <c r="E1297">
        <v>19</v>
      </c>
      <c r="F1297">
        <v>19</v>
      </c>
      <c r="G1297">
        <v>0</v>
      </c>
      <c r="H1297">
        <v>0</v>
      </c>
      <c r="I1297" t="s">
        <v>22</v>
      </c>
    </row>
    <row r="1298" spans="1:9">
      <c r="A1298" t="s">
        <v>37</v>
      </c>
      <c r="B1298" t="s">
        <v>86</v>
      </c>
      <c r="C1298">
        <v>2022</v>
      </c>
      <c r="D1298" t="s">
        <v>80</v>
      </c>
      <c r="E1298">
        <v>10</v>
      </c>
      <c r="F1298">
        <v>15</v>
      </c>
      <c r="G1298">
        <v>-5</v>
      </c>
      <c r="H1298">
        <v>0</v>
      </c>
      <c r="I1298" t="s">
        <v>49</v>
      </c>
    </row>
    <row r="1299" spans="1:9">
      <c r="A1299" t="s">
        <v>102</v>
      </c>
      <c r="B1299" t="s">
        <v>16</v>
      </c>
      <c r="C1299">
        <v>2022</v>
      </c>
      <c r="D1299" t="s">
        <v>80</v>
      </c>
      <c r="E1299">
        <v>12</v>
      </c>
      <c r="F1299">
        <v>13</v>
      </c>
      <c r="G1299">
        <v>-1</v>
      </c>
      <c r="H1299">
        <v>0</v>
      </c>
      <c r="I1299" t="s">
        <v>24</v>
      </c>
    </row>
    <row r="1300" spans="1:9">
      <c r="A1300" t="s">
        <v>39</v>
      </c>
      <c r="B1300" t="s">
        <v>87</v>
      </c>
      <c r="C1300">
        <v>2022</v>
      </c>
      <c r="D1300" t="s">
        <v>80</v>
      </c>
      <c r="E1300">
        <v>14</v>
      </c>
      <c r="F1300">
        <v>20</v>
      </c>
      <c r="G1300">
        <v>-6</v>
      </c>
      <c r="H1300">
        <v>0</v>
      </c>
      <c r="I1300" t="s">
        <v>19</v>
      </c>
    </row>
    <row r="1301" spans="1:9">
      <c r="A1301" t="s">
        <v>9</v>
      </c>
      <c r="B1301" t="s">
        <v>10</v>
      </c>
      <c r="C1301">
        <v>2022</v>
      </c>
      <c r="D1301" t="s">
        <v>82</v>
      </c>
      <c r="E1301">
        <v>6</v>
      </c>
      <c r="F1301">
        <v>5</v>
      </c>
      <c r="G1301">
        <v>1</v>
      </c>
      <c r="H1301">
        <v>10</v>
      </c>
      <c r="I1301" t="s">
        <v>12</v>
      </c>
    </row>
    <row r="1302" spans="1:9">
      <c r="A1302" t="s">
        <v>13</v>
      </c>
      <c r="B1302" t="s">
        <v>30</v>
      </c>
      <c r="C1302">
        <v>2022</v>
      </c>
      <c r="D1302" t="s">
        <v>82</v>
      </c>
      <c r="E1302">
        <v>20</v>
      </c>
      <c r="F1302">
        <v>9</v>
      </c>
      <c r="G1302">
        <v>11</v>
      </c>
      <c r="H1302">
        <v>2</v>
      </c>
      <c r="I1302" t="s">
        <v>24</v>
      </c>
    </row>
    <row r="1303" spans="1:9">
      <c r="A1303" t="s">
        <v>100</v>
      </c>
      <c r="B1303" t="s">
        <v>14</v>
      </c>
      <c r="C1303">
        <v>2022</v>
      </c>
      <c r="D1303" t="s">
        <v>82</v>
      </c>
      <c r="E1303">
        <v>16</v>
      </c>
      <c r="F1303">
        <v>11</v>
      </c>
      <c r="G1303">
        <v>5</v>
      </c>
      <c r="H1303">
        <v>0</v>
      </c>
      <c r="I1303" t="s">
        <v>24</v>
      </c>
    </row>
    <row r="1304" spans="1:9">
      <c r="A1304" t="s">
        <v>17</v>
      </c>
      <c r="B1304" t="s">
        <v>18</v>
      </c>
      <c r="C1304">
        <v>2022</v>
      </c>
      <c r="D1304" t="s">
        <v>82</v>
      </c>
      <c r="E1304">
        <v>5</v>
      </c>
      <c r="F1304">
        <v>2</v>
      </c>
      <c r="G1304">
        <v>3</v>
      </c>
      <c r="H1304">
        <v>19</v>
      </c>
      <c r="I1304" t="s">
        <v>12</v>
      </c>
    </row>
    <row r="1305" spans="1:9">
      <c r="A1305" t="s">
        <v>46</v>
      </c>
      <c r="B1305" t="s">
        <v>33</v>
      </c>
      <c r="C1305">
        <v>2022</v>
      </c>
      <c r="D1305" t="s">
        <v>82</v>
      </c>
      <c r="E1305">
        <v>9</v>
      </c>
      <c r="F1305">
        <v>12</v>
      </c>
      <c r="G1305">
        <v>-3</v>
      </c>
      <c r="H1305">
        <v>0</v>
      </c>
      <c r="I1305" t="s">
        <v>24</v>
      </c>
    </row>
    <row r="1306" spans="1:9">
      <c r="A1306" t="s">
        <v>20</v>
      </c>
      <c r="B1306" t="s">
        <v>87</v>
      </c>
      <c r="C1306">
        <v>2022</v>
      </c>
      <c r="D1306" t="s">
        <v>82</v>
      </c>
      <c r="E1306">
        <v>7</v>
      </c>
      <c r="F1306">
        <v>6</v>
      </c>
      <c r="G1306">
        <v>1</v>
      </c>
      <c r="H1306">
        <v>8</v>
      </c>
      <c r="I1306" t="s">
        <v>12</v>
      </c>
    </row>
    <row r="1307" spans="1:9">
      <c r="A1307" t="s">
        <v>23</v>
      </c>
      <c r="B1307" t="s">
        <v>16</v>
      </c>
      <c r="C1307">
        <v>2022</v>
      </c>
      <c r="D1307" t="s">
        <v>82</v>
      </c>
      <c r="E1307">
        <v>8</v>
      </c>
      <c r="F1307">
        <v>17</v>
      </c>
      <c r="G1307">
        <v>-9</v>
      </c>
      <c r="H1307">
        <v>0</v>
      </c>
      <c r="I1307" t="s">
        <v>53</v>
      </c>
    </row>
    <row r="1308" spans="1:9">
      <c r="A1308" t="s">
        <v>25</v>
      </c>
      <c r="B1308" t="s">
        <v>18</v>
      </c>
      <c r="C1308">
        <v>2022</v>
      </c>
      <c r="D1308" t="s">
        <v>82</v>
      </c>
      <c r="E1308">
        <v>2</v>
      </c>
      <c r="F1308">
        <v>1</v>
      </c>
      <c r="G1308">
        <v>1</v>
      </c>
      <c r="H1308">
        <v>25</v>
      </c>
      <c r="I1308" t="s">
        <v>12</v>
      </c>
    </row>
    <row r="1309" spans="1:9">
      <c r="A1309" t="s">
        <v>26</v>
      </c>
      <c r="B1309" t="s">
        <v>27</v>
      </c>
      <c r="C1309">
        <v>2022</v>
      </c>
      <c r="D1309" t="s">
        <v>82</v>
      </c>
      <c r="E1309">
        <v>3</v>
      </c>
      <c r="F1309">
        <v>4</v>
      </c>
      <c r="G1309">
        <v>-1</v>
      </c>
      <c r="H1309">
        <v>12</v>
      </c>
      <c r="I1309" t="s">
        <v>12</v>
      </c>
    </row>
    <row r="1310" spans="1:9">
      <c r="A1310" t="s">
        <v>48</v>
      </c>
      <c r="B1310" t="s">
        <v>30</v>
      </c>
      <c r="C1310">
        <v>2022</v>
      </c>
      <c r="D1310" t="s">
        <v>82</v>
      </c>
      <c r="E1310">
        <v>12</v>
      </c>
      <c r="F1310">
        <v>7</v>
      </c>
      <c r="G1310">
        <v>5</v>
      </c>
      <c r="H1310">
        <v>6</v>
      </c>
      <c r="I1310" t="s">
        <v>12</v>
      </c>
    </row>
    <row r="1311" spans="1:9">
      <c r="A1311" t="s">
        <v>28</v>
      </c>
      <c r="B1311" t="s">
        <v>14</v>
      </c>
      <c r="C1311">
        <v>2022</v>
      </c>
      <c r="D1311" t="s">
        <v>82</v>
      </c>
      <c r="E1311">
        <v>17</v>
      </c>
      <c r="F1311">
        <v>15</v>
      </c>
      <c r="G1311">
        <v>2</v>
      </c>
      <c r="H1311">
        <v>0</v>
      </c>
      <c r="I1311" t="s">
        <v>24</v>
      </c>
    </row>
    <row r="1312" spans="1:9">
      <c r="A1312" t="s">
        <v>29</v>
      </c>
      <c r="B1312" t="s">
        <v>86</v>
      </c>
      <c r="C1312">
        <v>2022</v>
      </c>
      <c r="D1312" t="s">
        <v>82</v>
      </c>
      <c r="E1312">
        <v>14</v>
      </c>
      <c r="F1312">
        <v>13</v>
      </c>
      <c r="G1312">
        <v>1</v>
      </c>
      <c r="H1312">
        <v>0</v>
      </c>
      <c r="I1312" t="s">
        <v>24</v>
      </c>
    </row>
    <row r="1313" spans="1:9">
      <c r="A1313" t="s">
        <v>31</v>
      </c>
      <c r="B1313" t="s">
        <v>27</v>
      </c>
      <c r="C1313">
        <v>2022</v>
      </c>
      <c r="D1313" t="s">
        <v>82</v>
      </c>
      <c r="E1313">
        <v>1</v>
      </c>
      <c r="F1313">
        <v>20</v>
      </c>
      <c r="G1313">
        <v>-19</v>
      </c>
      <c r="H1313">
        <v>0</v>
      </c>
      <c r="I1313" t="s">
        <v>113</v>
      </c>
    </row>
    <row r="1314" spans="1:9">
      <c r="A1314" t="s">
        <v>32</v>
      </c>
      <c r="B1314" t="s">
        <v>33</v>
      </c>
      <c r="C1314">
        <v>2022</v>
      </c>
      <c r="D1314" t="s">
        <v>82</v>
      </c>
      <c r="E1314">
        <v>11</v>
      </c>
      <c r="F1314">
        <v>8</v>
      </c>
      <c r="G1314">
        <v>3</v>
      </c>
      <c r="H1314">
        <v>4</v>
      </c>
      <c r="I1314" t="s">
        <v>12</v>
      </c>
    </row>
    <row r="1315" spans="1:9">
      <c r="A1315" t="s">
        <v>34</v>
      </c>
      <c r="B1315" t="s">
        <v>10</v>
      </c>
      <c r="C1315">
        <v>2022</v>
      </c>
      <c r="D1315" t="s">
        <v>82</v>
      </c>
      <c r="E1315">
        <v>4</v>
      </c>
      <c r="F1315">
        <v>3</v>
      </c>
      <c r="G1315">
        <v>1</v>
      </c>
      <c r="H1315">
        <v>15</v>
      </c>
      <c r="I1315" t="s">
        <v>12</v>
      </c>
    </row>
    <row r="1316" spans="1:9">
      <c r="A1316" t="s">
        <v>35</v>
      </c>
      <c r="B1316" t="s">
        <v>36</v>
      </c>
      <c r="C1316">
        <v>2022</v>
      </c>
      <c r="D1316" t="s">
        <v>82</v>
      </c>
      <c r="E1316">
        <v>18</v>
      </c>
      <c r="F1316">
        <v>18</v>
      </c>
      <c r="G1316">
        <v>0</v>
      </c>
      <c r="H1316">
        <v>0</v>
      </c>
      <c r="I1316" t="s">
        <v>53</v>
      </c>
    </row>
    <row r="1317" spans="1:9">
      <c r="A1317" t="s">
        <v>101</v>
      </c>
      <c r="B1317" t="s">
        <v>36</v>
      </c>
      <c r="C1317">
        <v>2022</v>
      </c>
      <c r="D1317" t="s">
        <v>82</v>
      </c>
      <c r="E1317">
        <v>19</v>
      </c>
      <c r="F1317">
        <v>16</v>
      </c>
      <c r="G1317">
        <v>3</v>
      </c>
      <c r="H1317">
        <v>0</v>
      </c>
      <c r="I1317" t="s">
        <v>53</v>
      </c>
    </row>
    <row r="1318" spans="1:9">
      <c r="A1318" t="s">
        <v>37</v>
      </c>
      <c r="B1318" t="s">
        <v>86</v>
      </c>
      <c r="C1318">
        <v>2022</v>
      </c>
      <c r="D1318" t="s">
        <v>82</v>
      </c>
      <c r="E1318">
        <v>13</v>
      </c>
      <c r="F1318">
        <v>10</v>
      </c>
      <c r="G1318">
        <v>3</v>
      </c>
      <c r="H1318">
        <v>1</v>
      </c>
      <c r="I1318" t="s">
        <v>24</v>
      </c>
    </row>
    <row r="1319" spans="1:9">
      <c r="A1319" t="s">
        <v>102</v>
      </c>
      <c r="B1319" t="s">
        <v>16</v>
      </c>
      <c r="C1319">
        <v>2022</v>
      </c>
      <c r="D1319" t="s">
        <v>82</v>
      </c>
      <c r="E1319">
        <v>10</v>
      </c>
      <c r="F1319">
        <v>14</v>
      </c>
      <c r="G1319">
        <v>-4</v>
      </c>
      <c r="H1319">
        <v>0</v>
      </c>
      <c r="I1319" t="s">
        <v>24</v>
      </c>
    </row>
    <row r="1320" spans="1:9">
      <c r="A1320" t="s">
        <v>39</v>
      </c>
      <c r="B1320" t="s">
        <v>87</v>
      </c>
      <c r="C1320">
        <v>2022</v>
      </c>
      <c r="D1320" t="s">
        <v>82</v>
      </c>
      <c r="E1320">
        <v>15</v>
      </c>
      <c r="F1320">
        <v>19</v>
      </c>
      <c r="G1320">
        <v>-4</v>
      </c>
      <c r="H1320">
        <v>0</v>
      </c>
      <c r="I1320" t="s">
        <v>89</v>
      </c>
    </row>
    <row r="1321" spans="1:9">
      <c r="A1321" t="s">
        <v>9</v>
      </c>
      <c r="B1321" t="s">
        <v>10</v>
      </c>
      <c r="C1321">
        <v>2022</v>
      </c>
      <c r="D1321" t="s">
        <v>83</v>
      </c>
      <c r="E1321">
        <v>2</v>
      </c>
      <c r="F1321">
        <v>2</v>
      </c>
      <c r="G1321">
        <v>0</v>
      </c>
      <c r="H1321">
        <v>18</v>
      </c>
      <c r="I1321" t="s">
        <v>12</v>
      </c>
    </row>
    <row r="1322" spans="1:9">
      <c r="A1322" t="s">
        <v>13</v>
      </c>
      <c r="B1322" t="s">
        <v>30</v>
      </c>
      <c r="C1322">
        <v>2022</v>
      </c>
      <c r="D1322" t="s">
        <v>83</v>
      </c>
      <c r="E1322">
        <v>17</v>
      </c>
      <c r="F1322">
        <v>5</v>
      </c>
      <c r="G1322">
        <v>12</v>
      </c>
      <c r="H1322">
        <v>10</v>
      </c>
      <c r="I1322" t="s">
        <v>12</v>
      </c>
    </row>
    <row r="1323" spans="1:9">
      <c r="A1323" t="s">
        <v>100</v>
      </c>
      <c r="B1323" t="s">
        <v>14</v>
      </c>
      <c r="C1323">
        <v>2022</v>
      </c>
      <c r="D1323" t="s">
        <v>83</v>
      </c>
      <c r="E1323">
        <v>9</v>
      </c>
      <c r="F1323">
        <v>11</v>
      </c>
      <c r="G1323">
        <v>-2</v>
      </c>
      <c r="H1323">
        <v>0</v>
      </c>
      <c r="I1323" t="s">
        <v>12</v>
      </c>
    </row>
    <row r="1324" spans="1:9">
      <c r="A1324" t="s">
        <v>17</v>
      </c>
      <c r="B1324" t="s">
        <v>18</v>
      </c>
      <c r="C1324">
        <v>2022</v>
      </c>
      <c r="D1324" t="s">
        <v>83</v>
      </c>
      <c r="E1324">
        <v>4</v>
      </c>
      <c r="F1324">
        <v>7</v>
      </c>
      <c r="G1324">
        <v>-3</v>
      </c>
      <c r="H1324">
        <v>6</v>
      </c>
      <c r="I1324" t="s">
        <v>12</v>
      </c>
    </row>
    <row r="1325" spans="1:9">
      <c r="A1325" t="s">
        <v>46</v>
      </c>
      <c r="B1325" t="s">
        <v>33</v>
      </c>
      <c r="C1325">
        <v>2022</v>
      </c>
      <c r="D1325" t="s">
        <v>83</v>
      </c>
      <c r="E1325">
        <v>11</v>
      </c>
      <c r="F1325">
        <v>20</v>
      </c>
      <c r="G1325">
        <v>-9</v>
      </c>
      <c r="H1325">
        <v>0</v>
      </c>
      <c r="I1325" t="s">
        <v>19</v>
      </c>
    </row>
    <row r="1326" spans="1:9">
      <c r="A1326" t="s">
        <v>20</v>
      </c>
      <c r="B1326" t="s">
        <v>87</v>
      </c>
      <c r="C1326">
        <v>2022</v>
      </c>
      <c r="D1326" t="s">
        <v>83</v>
      </c>
      <c r="E1326">
        <v>14</v>
      </c>
      <c r="F1326">
        <v>9</v>
      </c>
      <c r="G1326">
        <v>5</v>
      </c>
      <c r="H1326">
        <v>2</v>
      </c>
      <c r="I1326" t="s">
        <v>12</v>
      </c>
    </row>
    <row r="1327" spans="1:9">
      <c r="A1327" t="s">
        <v>23</v>
      </c>
      <c r="B1327" t="s">
        <v>16</v>
      </c>
      <c r="C1327">
        <v>2022</v>
      </c>
      <c r="D1327" t="s">
        <v>83</v>
      </c>
      <c r="E1327">
        <v>8</v>
      </c>
      <c r="F1327">
        <v>19</v>
      </c>
      <c r="G1327">
        <v>-11</v>
      </c>
      <c r="H1327">
        <v>0</v>
      </c>
      <c r="I1327" t="s">
        <v>19</v>
      </c>
    </row>
    <row r="1328" spans="1:9">
      <c r="A1328" t="s">
        <v>25</v>
      </c>
      <c r="B1328" t="s">
        <v>18</v>
      </c>
      <c r="C1328">
        <v>2022</v>
      </c>
      <c r="D1328" t="s">
        <v>83</v>
      </c>
      <c r="E1328">
        <v>3</v>
      </c>
      <c r="F1328">
        <v>6</v>
      </c>
      <c r="G1328">
        <v>-3</v>
      </c>
      <c r="H1328">
        <v>8</v>
      </c>
      <c r="I1328" t="s">
        <v>12</v>
      </c>
    </row>
    <row r="1329" spans="1:9">
      <c r="A1329" t="s">
        <v>26</v>
      </c>
      <c r="B1329" t="s">
        <v>27</v>
      </c>
      <c r="C1329">
        <v>2022</v>
      </c>
      <c r="D1329" t="s">
        <v>83</v>
      </c>
      <c r="E1329">
        <v>7</v>
      </c>
      <c r="F1329">
        <v>3</v>
      </c>
      <c r="G1329">
        <v>4</v>
      </c>
      <c r="H1329">
        <v>15</v>
      </c>
      <c r="I1329" t="s">
        <v>12</v>
      </c>
    </row>
    <row r="1330" spans="1:9">
      <c r="A1330" t="s">
        <v>48</v>
      </c>
      <c r="B1330" t="s">
        <v>30</v>
      </c>
      <c r="C1330">
        <v>2022</v>
      </c>
      <c r="D1330" t="s">
        <v>83</v>
      </c>
      <c r="E1330">
        <v>16</v>
      </c>
      <c r="F1330">
        <v>8</v>
      </c>
      <c r="G1330">
        <v>8</v>
      </c>
      <c r="H1330">
        <v>4</v>
      </c>
      <c r="I1330" t="s">
        <v>12</v>
      </c>
    </row>
    <row r="1331" spans="1:9">
      <c r="A1331" t="s">
        <v>28</v>
      </c>
      <c r="B1331" t="s">
        <v>14</v>
      </c>
      <c r="C1331">
        <v>2022</v>
      </c>
      <c r="D1331" t="s">
        <v>83</v>
      </c>
      <c r="E1331">
        <v>15</v>
      </c>
      <c r="F1331">
        <v>10</v>
      </c>
      <c r="G1331">
        <v>5</v>
      </c>
      <c r="H1331">
        <v>1</v>
      </c>
      <c r="I1331" t="s">
        <v>12</v>
      </c>
    </row>
    <row r="1332" spans="1:9">
      <c r="A1332" t="s">
        <v>29</v>
      </c>
      <c r="B1332" t="s">
        <v>86</v>
      </c>
      <c r="C1332">
        <v>2022</v>
      </c>
      <c r="D1332" t="s">
        <v>83</v>
      </c>
      <c r="E1332">
        <v>10</v>
      </c>
      <c r="F1332">
        <v>14</v>
      </c>
      <c r="G1332">
        <v>-4</v>
      </c>
      <c r="H1332">
        <v>0</v>
      </c>
      <c r="I1332" t="s">
        <v>12</v>
      </c>
    </row>
    <row r="1333" spans="1:9">
      <c r="A1333" t="s">
        <v>31</v>
      </c>
      <c r="B1333" t="s">
        <v>27</v>
      </c>
      <c r="C1333">
        <v>2022</v>
      </c>
      <c r="D1333" t="s">
        <v>83</v>
      </c>
      <c r="E1333">
        <v>5</v>
      </c>
      <c r="F1333">
        <v>4</v>
      </c>
      <c r="G1333">
        <v>1</v>
      </c>
      <c r="H1333">
        <v>12</v>
      </c>
      <c r="I1333" t="s">
        <v>12</v>
      </c>
    </row>
    <row r="1334" spans="1:9">
      <c r="A1334" t="s">
        <v>32</v>
      </c>
      <c r="B1334" t="s">
        <v>33</v>
      </c>
      <c r="C1334">
        <v>2022</v>
      </c>
      <c r="D1334" t="s">
        <v>83</v>
      </c>
      <c r="E1334">
        <v>6</v>
      </c>
      <c r="F1334">
        <v>18</v>
      </c>
      <c r="G1334">
        <v>-12</v>
      </c>
      <c r="H1334">
        <v>0</v>
      </c>
      <c r="I1334" t="s">
        <v>61</v>
      </c>
    </row>
    <row r="1335" spans="1:9">
      <c r="A1335" t="s">
        <v>34</v>
      </c>
      <c r="B1335" t="s">
        <v>10</v>
      </c>
      <c r="C1335">
        <v>2022</v>
      </c>
      <c r="D1335" t="s">
        <v>83</v>
      </c>
      <c r="E1335">
        <v>1</v>
      </c>
      <c r="F1335">
        <v>1</v>
      </c>
      <c r="G1335">
        <v>0</v>
      </c>
      <c r="H1335">
        <v>26</v>
      </c>
      <c r="I1335" t="s">
        <v>12</v>
      </c>
    </row>
    <row r="1336" spans="1:9">
      <c r="A1336" t="s">
        <v>35</v>
      </c>
      <c r="B1336" t="s">
        <v>36</v>
      </c>
      <c r="C1336">
        <v>2022</v>
      </c>
      <c r="D1336" t="s">
        <v>83</v>
      </c>
      <c r="E1336">
        <v>19</v>
      </c>
      <c r="F1336">
        <v>15</v>
      </c>
      <c r="G1336">
        <v>4</v>
      </c>
      <c r="H1336">
        <v>0</v>
      </c>
      <c r="I1336" t="s">
        <v>12</v>
      </c>
    </row>
    <row r="1337" spans="1:9">
      <c r="A1337" t="s">
        <v>101</v>
      </c>
      <c r="B1337" t="s">
        <v>36</v>
      </c>
      <c r="C1337">
        <v>2022</v>
      </c>
      <c r="D1337" t="s">
        <v>83</v>
      </c>
      <c r="E1337">
        <v>18</v>
      </c>
      <c r="F1337">
        <v>16</v>
      </c>
      <c r="G1337">
        <v>2</v>
      </c>
      <c r="H1337">
        <v>0</v>
      </c>
      <c r="I1337" t="s">
        <v>12</v>
      </c>
    </row>
    <row r="1338" spans="1:9">
      <c r="A1338" t="s">
        <v>37</v>
      </c>
      <c r="B1338" t="s">
        <v>86</v>
      </c>
      <c r="C1338">
        <v>2022</v>
      </c>
      <c r="D1338" t="s">
        <v>83</v>
      </c>
      <c r="E1338">
        <v>0</v>
      </c>
      <c r="F1338">
        <v>17</v>
      </c>
      <c r="G1338">
        <v>-17</v>
      </c>
      <c r="H1338">
        <v>0</v>
      </c>
      <c r="I1338" t="s">
        <v>24</v>
      </c>
    </row>
    <row r="1339" spans="1:9">
      <c r="A1339" t="s">
        <v>102</v>
      </c>
      <c r="B1339" t="s">
        <v>16</v>
      </c>
      <c r="C1339">
        <v>2022</v>
      </c>
      <c r="D1339" t="s">
        <v>83</v>
      </c>
      <c r="E1339">
        <v>12</v>
      </c>
      <c r="F1339">
        <v>13</v>
      </c>
      <c r="G1339">
        <v>-1</v>
      </c>
      <c r="H1339">
        <v>0</v>
      </c>
      <c r="I1339" t="s">
        <v>12</v>
      </c>
    </row>
    <row r="1340" spans="1:9">
      <c r="A1340" t="s">
        <v>39</v>
      </c>
      <c r="B1340" t="s">
        <v>87</v>
      </c>
      <c r="C1340">
        <v>2022</v>
      </c>
      <c r="D1340" t="s">
        <v>83</v>
      </c>
      <c r="E1340">
        <v>13</v>
      </c>
      <c r="F1340">
        <v>12</v>
      </c>
      <c r="G1340">
        <v>1</v>
      </c>
      <c r="H1340">
        <v>0</v>
      </c>
      <c r="I1340" t="s">
        <v>12</v>
      </c>
    </row>
    <row r="1341" spans="1:9">
      <c r="A1341" t="s">
        <v>9</v>
      </c>
      <c r="B1341" t="s">
        <v>10</v>
      </c>
      <c r="C1341">
        <v>2022</v>
      </c>
      <c r="D1341" t="s">
        <v>85</v>
      </c>
      <c r="E1341">
        <v>3</v>
      </c>
      <c r="F1341">
        <v>2</v>
      </c>
      <c r="G1341">
        <v>1</v>
      </c>
      <c r="H1341">
        <v>18</v>
      </c>
      <c r="I1341" t="s">
        <v>12</v>
      </c>
    </row>
    <row r="1342" spans="1:9">
      <c r="A1342" t="s">
        <v>13</v>
      </c>
      <c r="B1342" t="s">
        <v>30</v>
      </c>
      <c r="C1342">
        <v>2022</v>
      </c>
      <c r="D1342" t="s">
        <v>85</v>
      </c>
      <c r="E1342">
        <v>14</v>
      </c>
      <c r="F1342">
        <v>7</v>
      </c>
      <c r="G1342">
        <v>7</v>
      </c>
      <c r="H1342">
        <v>6</v>
      </c>
      <c r="I1342" t="s">
        <v>12</v>
      </c>
    </row>
    <row r="1343" spans="1:9">
      <c r="A1343" t="s">
        <v>100</v>
      </c>
      <c r="B1343" t="s">
        <v>14</v>
      </c>
      <c r="C1343">
        <v>2022</v>
      </c>
      <c r="D1343" t="s">
        <v>85</v>
      </c>
      <c r="E1343">
        <v>10</v>
      </c>
      <c r="F1343">
        <v>8</v>
      </c>
      <c r="G1343">
        <v>2</v>
      </c>
      <c r="H1343">
        <v>4</v>
      </c>
      <c r="I1343" t="s">
        <v>12</v>
      </c>
    </row>
    <row r="1344" spans="1:9">
      <c r="A1344" t="s">
        <v>17</v>
      </c>
      <c r="B1344" t="s">
        <v>18</v>
      </c>
      <c r="C1344">
        <v>2022</v>
      </c>
      <c r="D1344" t="s">
        <v>85</v>
      </c>
      <c r="E1344">
        <v>9</v>
      </c>
      <c r="F1344">
        <v>4</v>
      </c>
      <c r="G1344">
        <v>5</v>
      </c>
      <c r="H1344">
        <v>12</v>
      </c>
      <c r="I1344" t="s">
        <v>12</v>
      </c>
    </row>
    <row r="1345" spans="1:9">
      <c r="A1345" t="s">
        <v>46</v>
      </c>
      <c r="B1345" t="s">
        <v>33</v>
      </c>
      <c r="C1345">
        <v>2022</v>
      </c>
      <c r="D1345" t="s">
        <v>85</v>
      </c>
      <c r="E1345">
        <v>15</v>
      </c>
      <c r="F1345">
        <v>16</v>
      </c>
      <c r="G1345">
        <v>-1</v>
      </c>
      <c r="H1345">
        <v>0</v>
      </c>
      <c r="I1345" t="s">
        <v>12</v>
      </c>
    </row>
    <row r="1346" spans="1:9">
      <c r="A1346" t="s">
        <v>20</v>
      </c>
      <c r="B1346" t="s">
        <v>87</v>
      </c>
      <c r="C1346">
        <v>2022</v>
      </c>
      <c r="D1346" t="s">
        <v>85</v>
      </c>
      <c r="E1346">
        <v>7</v>
      </c>
      <c r="F1346">
        <v>19</v>
      </c>
      <c r="G1346">
        <v>-12</v>
      </c>
      <c r="H1346">
        <v>0</v>
      </c>
      <c r="I1346" t="s">
        <v>78</v>
      </c>
    </row>
    <row r="1347" spans="1:9">
      <c r="A1347" t="s">
        <v>23</v>
      </c>
      <c r="B1347" t="s">
        <v>16</v>
      </c>
      <c r="C1347">
        <v>2022</v>
      </c>
      <c r="D1347" t="s">
        <v>85</v>
      </c>
      <c r="E1347">
        <v>13</v>
      </c>
      <c r="F1347">
        <v>9</v>
      </c>
      <c r="G1347">
        <v>4</v>
      </c>
      <c r="H1347">
        <v>2</v>
      </c>
      <c r="I1347" t="s">
        <v>12</v>
      </c>
    </row>
    <row r="1348" spans="1:9">
      <c r="A1348" t="s">
        <v>25</v>
      </c>
      <c r="B1348" t="s">
        <v>18</v>
      </c>
      <c r="C1348">
        <v>2022</v>
      </c>
      <c r="D1348" t="s">
        <v>85</v>
      </c>
      <c r="E1348">
        <v>2</v>
      </c>
      <c r="F1348">
        <v>1</v>
      </c>
      <c r="G1348">
        <v>1</v>
      </c>
      <c r="H1348">
        <v>25</v>
      </c>
      <c r="I1348" t="s">
        <v>12</v>
      </c>
    </row>
    <row r="1349" spans="1:9">
      <c r="A1349" t="s">
        <v>26</v>
      </c>
      <c r="B1349" t="s">
        <v>27</v>
      </c>
      <c r="C1349">
        <v>2022</v>
      </c>
      <c r="D1349" t="s">
        <v>85</v>
      </c>
      <c r="E1349">
        <v>1</v>
      </c>
      <c r="F1349">
        <v>20</v>
      </c>
      <c r="G1349">
        <v>-19</v>
      </c>
      <c r="H1349">
        <v>0</v>
      </c>
      <c r="I1349" t="s">
        <v>22</v>
      </c>
    </row>
    <row r="1350" spans="1:9">
      <c r="A1350" t="s">
        <v>48</v>
      </c>
      <c r="B1350" t="s">
        <v>30</v>
      </c>
      <c r="C1350">
        <v>2022</v>
      </c>
      <c r="D1350" t="s">
        <v>85</v>
      </c>
      <c r="E1350">
        <v>0</v>
      </c>
      <c r="F1350">
        <v>11</v>
      </c>
      <c r="G1350">
        <v>-11</v>
      </c>
      <c r="H1350">
        <v>0</v>
      </c>
      <c r="I1350" t="s">
        <v>12</v>
      </c>
    </row>
    <row r="1351" spans="1:9">
      <c r="A1351" t="s">
        <v>28</v>
      </c>
      <c r="B1351" t="s">
        <v>14</v>
      </c>
      <c r="C1351">
        <v>2022</v>
      </c>
      <c r="D1351" t="s">
        <v>85</v>
      </c>
      <c r="E1351">
        <v>5</v>
      </c>
      <c r="F1351">
        <v>18</v>
      </c>
      <c r="G1351">
        <v>-13</v>
      </c>
      <c r="H1351">
        <v>0</v>
      </c>
      <c r="I1351" t="s">
        <v>19</v>
      </c>
    </row>
    <row r="1352" spans="1:9">
      <c r="A1352" t="s">
        <v>29</v>
      </c>
      <c r="B1352" t="s">
        <v>86</v>
      </c>
      <c r="C1352">
        <v>2022</v>
      </c>
      <c r="D1352" t="s">
        <v>85</v>
      </c>
      <c r="E1352">
        <v>11</v>
      </c>
      <c r="F1352">
        <v>14</v>
      </c>
      <c r="G1352">
        <v>-3</v>
      </c>
      <c r="H1352">
        <v>0</v>
      </c>
      <c r="I1352" t="s">
        <v>12</v>
      </c>
    </row>
    <row r="1353" spans="1:9">
      <c r="A1353" t="s">
        <v>31</v>
      </c>
      <c r="B1353" t="s">
        <v>27</v>
      </c>
      <c r="C1353">
        <v>2022</v>
      </c>
      <c r="D1353" t="s">
        <v>85</v>
      </c>
      <c r="E1353">
        <v>12</v>
      </c>
      <c r="F1353">
        <v>3</v>
      </c>
      <c r="G1353">
        <v>9</v>
      </c>
      <c r="H1353">
        <v>15</v>
      </c>
      <c r="I1353" t="s">
        <v>12</v>
      </c>
    </row>
    <row r="1354" spans="1:9">
      <c r="A1354" t="s">
        <v>32</v>
      </c>
      <c r="B1354" t="s">
        <v>33</v>
      </c>
      <c r="C1354">
        <v>2022</v>
      </c>
      <c r="D1354" t="s">
        <v>85</v>
      </c>
      <c r="E1354">
        <v>6</v>
      </c>
      <c r="F1354">
        <v>6</v>
      </c>
      <c r="G1354">
        <v>0</v>
      </c>
      <c r="H1354">
        <v>8</v>
      </c>
      <c r="I1354" t="s">
        <v>12</v>
      </c>
    </row>
    <row r="1355" spans="1:9">
      <c r="A1355" t="s">
        <v>34</v>
      </c>
      <c r="B1355" t="s">
        <v>10</v>
      </c>
      <c r="C1355">
        <v>2022</v>
      </c>
      <c r="D1355" t="s">
        <v>85</v>
      </c>
      <c r="E1355">
        <v>4</v>
      </c>
      <c r="F1355">
        <v>5</v>
      </c>
      <c r="G1355">
        <v>-1</v>
      </c>
      <c r="H1355">
        <v>11</v>
      </c>
      <c r="I1355" t="s">
        <v>12</v>
      </c>
    </row>
    <row r="1356" spans="1:9">
      <c r="A1356" t="s">
        <v>35</v>
      </c>
      <c r="B1356" t="s">
        <v>36</v>
      </c>
      <c r="C1356">
        <v>2022</v>
      </c>
      <c r="D1356" t="s">
        <v>85</v>
      </c>
      <c r="E1356">
        <v>8</v>
      </c>
      <c r="F1356">
        <v>13</v>
      </c>
      <c r="G1356">
        <v>-5</v>
      </c>
      <c r="H1356">
        <v>0</v>
      </c>
      <c r="I1356" t="s">
        <v>12</v>
      </c>
    </row>
    <row r="1357" spans="1:9">
      <c r="A1357" t="s">
        <v>101</v>
      </c>
      <c r="B1357" t="s">
        <v>36</v>
      </c>
      <c r="C1357">
        <v>2022</v>
      </c>
      <c r="D1357" t="s">
        <v>85</v>
      </c>
      <c r="E1357">
        <v>17</v>
      </c>
      <c r="F1357">
        <v>17</v>
      </c>
      <c r="G1357">
        <v>0</v>
      </c>
      <c r="H1357">
        <v>0</v>
      </c>
      <c r="I1357" t="s">
        <v>12</v>
      </c>
    </row>
    <row r="1358" spans="1:9">
      <c r="A1358" t="s">
        <v>37</v>
      </c>
      <c r="B1358" t="s">
        <v>86</v>
      </c>
      <c r="C1358">
        <v>2022</v>
      </c>
      <c r="D1358" t="s">
        <v>85</v>
      </c>
      <c r="E1358">
        <v>19</v>
      </c>
      <c r="F1358">
        <v>10</v>
      </c>
      <c r="G1358">
        <v>9</v>
      </c>
      <c r="H1358">
        <v>1</v>
      </c>
      <c r="I1358" t="s">
        <v>12</v>
      </c>
    </row>
    <row r="1359" spans="1:9">
      <c r="A1359" t="s">
        <v>102</v>
      </c>
      <c r="B1359" t="s">
        <v>16</v>
      </c>
      <c r="C1359">
        <v>2022</v>
      </c>
      <c r="D1359" t="s">
        <v>85</v>
      </c>
      <c r="E1359">
        <v>16</v>
      </c>
      <c r="F1359">
        <v>15</v>
      </c>
      <c r="G1359">
        <v>1</v>
      </c>
      <c r="H1359">
        <v>0</v>
      </c>
      <c r="I1359" t="s">
        <v>12</v>
      </c>
    </row>
    <row r="1360" spans="1:9">
      <c r="A1360" t="s">
        <v>39</v>
      </c>
      <c r="B1360" t="s">
        <v>87</v>
      </c>
      <c r="C1360">
        <v>2022</v>
      </c>
      <c r="D1360" t="s">
        <v>85</v>
      </c>
      <c r="E1360">
        <v>18</v>
      </c>
      <c r="F1360">
        <v>12</v>
      </c>
      <c r="G1360">
        <v>6</v>
      </c>
      <c r="H1360">
        <v>0</v>
      </c>
      <c r="I1360" t="s">
        <v>12</v>
      </c>
    </row>
    <row r="1361" spans="1:9">
      <c r="A1361" t="s">
        <v>9</v>
      </c>
      <c r="B1361" t="s">
        <v>10</v>
      </c>
      <c r="C1361">
        <v>2021</v>
      </c>
      <c r="D1361" t="s">
        <v>11</v>
      </c>
      <c r="E1361">
        <v>2</v>
      </c>
      <c r="F1361">
        <v>2</v>
      </c>
      <c r="G1361">
        <v>0</v>
      </c>
      <c r="H1361">
        <v>18</v>
      </c>
      <c r="I1361" t="s">
        <v>12</v>
      </c>
    </row>
    <row r="1362" spans="1:9">
      <c r="A1362" t="s">
        <v>13</v>
      </c>
      <c r="B1362" t="s">
        <v>30</v>
      </c>
      <c r="C1362">
        <v>2021</v>
      </c>
      <c r="D1362" t="s">
        <v>11</v>
      </c>
      <c r="E1362">
        <v>11</v>
      </c>
      <c r="F1362">
        <v>8</v>
      </c>
      <c r="G1362">
        <v>3</v>
      </c>
      <c r="H1362">
        <v>4</v>
      </c>
      <c r="I1362" t="s">
        <v>12</v>
      </c>
    </row>
    <row r="1363" spans="1:9">
      <c r="A1363" t="s">
        <v>114</v>
      </c>
      <c r="B1363" t="s">
        <v>87</v>
      </c>
      <c r="C1363">
        <v>2021</v>
      </c>
      <c r="D1363" t="s">
        <v>11</v>
      </c>
      <c r="E1363">
        <v>18</v>
      </c>
      <c r="F1363">
        <v>19</v>
      </c>
      <c r="G1363">
        <v>-1</v>
      </c>
      <c r="H1363">
        <v>0</v>
      </c>
      <c r="I1363" t="s">
        <v>47</v>
      </c>
    </row>
    <row r="1364" spans="1:9">
      <c r="A1364" t="s">
        <v>100</v>
      </c>
      <c r="B1364" t="s">
        <v>14</v>
      </c>
      <c r="C1364">
        <v>2021</v>
      </c>
      <c r="D1364" t="s">
        <v>11</v>
      </c>
      <c r="E1364">
        <v>15</v>
      </c>
      <c r="F1364">
        <v>11</v>
      </c>
      <c r="G1364">
        <v>4</v>
      </c>
      <c r="H1364">
        <v>0</v>
      </c>
      <c r="I1364" t="s">
        <v>12</v>
      </c>
    </row>
    <row r="1365" spans="1:9">
      <c r="A1365" t="s">
        <v>17</v>
      </c>
      <c r="B1365" t="s">
        <v>18</v>
      </c>
      <c r="C1365">
        <v>2021</v>
      </c>
      <c r="D1365" t="s">
        <v>11</v>
      </c>
      <c r="E1365">
        <v>4</v>
      </c>
      <c r="F1365">
        <v>15</v>
      </c>
      <c r="G1365">
        <v>-11</v>
      </c>
      <c r="H1365">
        <v>0</v>
      </c>
      <c r="I1365" t="s">
        <v>42</v>
      </c>
    </row>
    <row r="1366" spans="1:9">
      <c r="A1366" t="s">
        <v>46</v>
      </c>
      <c r="B1366" t="s">
        <v>33</v>
      </c>
      <c r="C1366">
        <v>2021</v>
      </c>
      <c r="D1366" t="s">
        <v>11</v>
      </c>
      <c r="E1366">
        <v>10</v>
      </c>
      <c r="F1366">
        <v>12</v>
      </c>
      <c r="G1366">
        <v>-2</v>
      </c>
      <c r="H1366">
        <v>0</v>
      </c>
      <c r="I1366" t="s">
        <v>24</v>
      </c>
    </row>
    <row r="1367" spans="1:9">
      <c r="A1367" t="s">
        <v>20</v>
      </c>
      <c r="B1367" t="s">
        <v>10</v>
      </c>
      <c r="C1367">
        <v>2021</v>
      </c>
      <c r="D1367" t="s">
        <v>11</v>
      </c>
      <c r="E1367">
        <v>6</v>
      </c>
      <c r="F1367">
        <v>6</v>
      </c>
      <c r="G1367">
        <v>0</v>
      </c>
      <c r="H1367">
        <v>8</v>
      </c>
      <c r="I1367" t="s">
        <v>12</v>
      </c>
    </row>
    <row r="1368" spans="1:9">
      <c r="A1368" t="s">
        <v>25</v>
      </c>
      <c r="B1368" t="s">
        <v>18</v>
      </c>
      <c r="C1368">
        <v>2021</v>
      </c>
      <c r="D1368" t="s">
        <v>11</v>
      </c>
      <c r="E1368">
        <v>1</v>
      </c>
      <c r="F1368">
        <v>1</v>
      </c>
      <c r="G1368">
        <v>0</v>
      </c>
      <c r="H1368">
        <v>26</v>
      </c>
      <c r="I1368" t="s">
        <v>12</v>
      </c>
    </row>
    <row r="1369" spans="1:9">
      <c r="A1369" t="s">
        <v>26</v>
      </c>
      <c r="B1369" t="s">
        <v>27</v>
      </c>
      <c r="C1369">
        <v>2021</v>
      </c>
      <c r="D1369" t="s">
        <v>11</v>
      </c>
      <c r="E1369">
        <v>5</v>
      </c>
      <c r="F1369">
        <v>3</v>
      </c>
      <c r="G1369">
        <v>2</v>
      </c>
      <c r="H1369">
        <v>15</v>
      </c>
      <c r="I1369" t="s">
        <v>12</v>
      </c>
    </row>
    <row r="1370" spans="1:9">
      <c r="A1370" t="s">
        <v>48</v>
      </c>
      <c r="B1370" t="s">
        <v>30</v>
      </c>
      <c r="C1370">
        <v>2021</v>
      </c>
      <c r="D1370" t="s">
        <v>11</v>
      </c>
      <c r="E1370">
        <v>9</v>
      </c>
      <c r="F1370">
        <v>9</v>
      </c>
      <c r="G1370">
        <v>0</v>
      </c>
      <c r="H1370">
        <v>2</v>
      </c>
      <c r="I1370" t="s">
        <v>12</v>
      </c>
    </row>
    <row r="1371" spans="1:9">
      <c r="A1371" t="s">
        <v>28</v>
      </c>
      <c r="B1371" t="s">
        <v>14</v>
      </c>
      <c r="C1371">
        <v>2021</v>
      </c>
      <c r="D1371" t="s">
        <v>11</v>
      </c>
      <c r="E1371">
        <v>13</v>
      </c>
      <c r="F1371">
        <v>13</v>
      </c>
      <c r="G1371">
        <v>0</v>
      </c>
      <c r="H1371">
        <v>0</v>
      </c>
      <c r="I1371" t="s">
        <v>24</v>
      </c>
    </row>
    <row r="1372" spans="1:9">
      <c r="A1372" t="s">
        <v>115</v>
      </c>
      <c r="B1372" t="s">
        <v>87</v>
      </c>
      <c r="C1372">
        <v>2021</v>
      </c>
      <c r="D1372" t="s">
        <v>11</v>
      </c>
      <c r="E1372">
        <v>14</v>
      </c>
      <c r="F1372">
        <v>17</v>
      </c>
      <c r="G1372">
        <v>-3</v>
      </c>
      <c r="H1372">
        <v>0</v>
      </c>
      <c r="I1372" t="s">
        <v>61</v>
      </c>
    </row>
    <row r="1373" spans="1:9">
      <c r="A1373" t="s">
        <v>29</v>
      </c>
      <c r="B1373" t="s">
        <v>86</v>
      </c>
      <c r="C1373">
        <v>2021</v>
      </c>
      <c r="D1373" t="s">
        <v>11</v>
      </c>
      <c r="E1373">
        <v>12</v>
      </c>
      <c r="F1373">
        <v>5</v>
      </c>
      <c r="G1373">
        <v>7</v>
      </c>
      <c r="H1373">
        <v>10</v>
      </c>
      <c r="I1373" t="s">
        <v>12</v>
      </c>
    </row>
    <row r="1374" spans="1:9">
      <c r="A1374" t="s">
        <v>31</v>
      </c>
      <c r="B1374" t="s">
        <v>27</v>
      </c>
      <c r="C1374">
        <v>2021</v>
      </c>
      <c r="D1374" t="s">
        <v>11</v>
      </c>
      <c r="E1374">
        <v>7</v>
      </c>
      <c r="F1374">
        <v>10</v>
      </c>
      <c r="G1374">
        <v>-3</v>
      </c>
      <c r="H1374">
        <v>1</v>
      </c>
      <c r="I1374" t="s">
        <v>12</v>
      </c>
    </row>
    <row r="1375" spans="1:9">
      <c r="A1375" t="s">
        <v>32</v>
      </c>
      <c r="B1375" t="s">
        <v>33</v>
      </c>
      <c r="C1375">
        <v>2021</v>
      </c>
      <c r="D1375" t="s">
        <v>11</v>
      </c>
      <c r="E1375">
        <v>3</v>
      </c>
      <c r="F1375">
        <v>7</v>
      </c>
      <c r="G1375">
        <v>-4</v>
      </c>
      <c r="H1375">
        <v>6</v>
      </c>
      <c r="I1375" t="s">
        <v>12</v>
      </c>
    </row>
    <row r="1376" spans="1:9">
      <c r="A1376" t="s">
        <v>34</v>
      </c>
      <c r="B1376" t="s">
        <v>36</v>
      </c>
      <c r="C1376">
        <v>2021</v>
      </c>
      <c r="D1376" t="s">
        <v>11</v>
      </c>
      <c r="E1376">
        <v>17</v>
      </c>
      <c r="F1376">
        <v>18</v>
      </c>
      <c r="G1376">
        <v>-1</v>
      </c>
      <c r="H1376">
        <v>0</v>
      </c>
      <c r="I1376" t="s">
        <v>61</v>
      </c>
    </row>
    <row r="1377" spans="1:9">
      <c r="A1377" t="s">
        <v>101</v>
      </c>
      <c r="B1377" t="s">
        <v>36</v>
      </c>
      <c r="C1377">
        <v>2021</v>
      </c>
      <c r="D1377" t="s">
        <v>11</v>
      </c>
      <c r="E1377">
        <v>16</v>
      </c>
      <c r="F1377">
        <v>16</v>
      </c>
      <c r="G1377">
        <v>0</v>
      </c>
      <c r="H1377">
        <v>0</v>
      </c>
      <c r="I1377" t="s">
        <v>49</v>
      </c>
    </row>
    <row r="1378" spans="1:9">
      <c r="A1378" t="s">
        <v>37</v>
      </c>
      <c r="B1378" t="s">
        <v>86</v>
      </c>
      <c r="C1378">
        <v>2021</v>
      </c>
      <c r="D1378" t="s">
        <v>11</v>
      </c>
      <c r="E1378">
        <v>8</v>
      </c>
      <c r="F1378">
        <v>4</v>
      </c>
      <c r="G1378">
        <v>4</v>
      </c>
      <c r="H1378">
        <v>12</v>
      </c>
      <c r="I1378" t="s">
        <v>12</v>
      </c>
    </row>
    <row r="1379" spans="1:9">
      <c r="A1379" t="s">
        <v>116</v>
      </c>
      <c r="B1379" t="s">
        <v>16</v>
      </c>
      <c r="C1379">
        <v>2021</v>
      </c>
      <c r="D1379" t="s">
        <v>11</v>
      </c>
      <c r="E1379">
        <v>20</v>
      </c>
      <c r="F1379">
        <v>20</v>
      </c>
      <c r="G1379">
        <v>0</v>
      </c>
      <c r="H1379">
        <v>0</v>
      </c>
      <c r="I1379" t="s">
        <v>97</v>
      </c>
    </row>
    <row r="1380" spans="1:9">
      <c r="A1380" t="s">
        <v>102</v>
      </c>
      <c r="B1380" t="s">
        <v>16</v>
      </c>
      <c r="C1380">
        <v>2021</v>
      </c>
      <c r="D1380" t="s">
        <v>11</v>
      </c>
      <c r="E1380">
        <v>19</v>
      </c>
      <c r="F1380">
        <v>14</v>
      </c>
      <c r="G1380">
        <v>5</v>
      </c>
      <c r="H1380">
        <v>0</v>
      </c>
      <c r="I1380" t="s">
        <v>24</v>
      </c>
    </row>
    <row r="1381" spans="1:9">
      <c r="A1381" t="s">
        <v>9</v>
      </c>
      <c r="B1381" t="s">
        <v>10</v>
      </c>
      <c r="C1381">
        <v>2021</v>
      </c>
      <c r="D1381" t="s">
        <v>50</v>
      </c>
      <c r="E1381">
        <v>4</v>
      </c>
      <c r="F1381">
        <v>4</v>
      </c>
      <c r="G1381">
        <v>0</v>
      </c>
      <c r="H1381">
        <v>12</v>
      </c>
      <c r="I1381" t="s">
        <v>12</v>
      </c>
    </row>
    <row r="1382" spans="1:9">
      <c r="A1382" t="s">
        <v>13</v>
      </c>
      <c r="B1382" t="s">
        <v>30</v>
      </c>
      <c r="C1382">
        <v>2021</v>
      </c>
      <c r="D1382" t="s">
        <v>50</v>
      </c>
      <c r="E1382">
        <v>14</v>
      </c>
      <c r="F1382">
        <v>10</v>
      </c>
      <c r="G1382">
        <v>4</v>
      </c>
      <c r="H1382">
        <v>1</v>
      </c>
      <c r="I1382" t="s">
        <v>24</v>
      </c>
    </row>
    <row r="1383" spans="1:9">
      <c r="A1383" t="s">
        <v>114</v>
      </c>
      <c r="B1383" t="s">
        <v>87</v>
      </c>
      <c r="C1383">
        <v>2021</v>
      </c>
      <c r="D1383" t="s">
        <v>50</v>
      </c>
      <c r="E1383">
        <v>16</v>
      </c>
      <c r="F1383">
        <v>15</v>
      </c>
      <c r="G1383">
        <v>1</v>
      </c>
      <c r="H1383">
        <v>0</v>
      </c>
      <c r="I1383" t="s">
        <v>24</v>
      </c>
    </row>
    <row r="1384" spans="1:9">
      <c r="A1384" t="s">
        <v>100</v>
      </c>
      <c r="B1384" t="s">
        <v>14</v>
      </c>
      <c r="C1384">
        <v>2021</v>
      </c>
      <c r="D1384" t="s">
        <v>50</v>
      </c>
      <c r="E1384">
        <v>11</v>
      </c>
      <c r="F1384">
        <v>17</v>
      </c>
      <c r="G1384">
        <v>-6</v>
      </c>
      <c r="H1384">
        <v>0</v>
      </c>
      <c r="I1384" t="s">
        <v>19</v>
      </c>
    </row>
    <row r="1385" spans="1:9">
      <c r="A1385" t="s">
        <v>17</v>
      </c>
      <c r="B1385" t="s">
        <v>18</v>
      </c>
      <c r="C1385">
        <v>2021</v>
      </c>
      <c r="D1385" t="s">
        <v>50</v>
      </c>
      <c r="E1385">
        <v>3</v>
      </c>
      <c r="F1385">
        <v>6</v>
      </c>
      <c r="G1385">
        <v>-3</v>
      </c>
      <c r="H1385">
        <v>8</v>
      </c>
      <c r="I1385" t="s">
        <v>12</v>
      </c>
    </row>
    <row r="1386" spans="1:9">
      <c r="A1386" t="s">
        <v>46</v>
      </c>
      <c r="B1386" t="s">
        <v>33</v>
      </c>
      <c r="C1386">
        <v>2021</v>
      </c>
      <c r="D1386" t="s">
        <v>50</v>
      </c>
      <c r="E1386">
        <v>13</v>
      </c>
      <c r="F1386">
        <v>7</v>
      </c>
      <c r="G1386">
        <v>6</v>
      </c>
      <c r="H1386">
        <v>6</v>
      </c>
      <c r="I1386" t="s">
        <v>12</v>
      </c>
    </row>
    <row r="1387" spans="1:9">
      <c r="A1387" t="s">
        <v>20</v>
      </c>
      <c r="B1387" t="s">
        <v>10</v>
      </c>
      <c r="C1387">
        <v>2021</v>
      </c>
      <c r="D1387" t="s">
        <v>50</v>
      </c>
      <c r="E1387">
        <v>5</v>
      </c>
      <c r="F1387">
        <v>2</v>
      </c>
      <c r="G1387">
        <v>3</v>
      </c>
      <c r="H1387">
        <v>18</v>
      </c>
      <c r="I1387" t="s">
        <v>12</v>
      </c>
    </row>
    <row r="1388" spans="1:9">
      <c r="A1388" t="s">
        <v>25</v>
      </c>
      <c r="B1388" t="s">
        <v>18</v>
      </c>
      <c r="C1388">
        <v>2021</v>
      </c>
      <c r="D1388" t="s">
        <v>50</v>
      </c>
      <c r="E1388">
        <v>1</v>
      </c>
      <c r="F1388">
        <v>1</v>
      </c>
      <c r="G1388">
        <v>0</v>
      </c>
      <c r="H1388">
        <v>26</v>
      </c>
      <c r="I1388" t="s">
        <v>12</v>
      </c>
    </row>
    <row r="1389" spans="1:9">
      <c r="A1389" t="s">
        <v>26</v>
      </c>
      <c r="B1389" t="s">
        <v>27</v>
      </c>
      <c r="C1389">
        <v>2021</v>
      </c>
      <c r="D1389" t="s">
        <v>50</v>
      </c>
      <c r="E1389">
        <v>10</v>
      </c>
      <c r="F1389">
        <v>5</v>
      </c>
      <c r="G1389">
        <v>5</v>
      </c>
      <c r="H1389">
        <v>10</v>
      </c>
      <c r="I1389" t="s">
        <v>12</v>
      </c>
    </row>
    <row r="1390" spans="1:9">
      <c r="A1390" t="s">
        <v>48</v>
      </c>
      <c r="B1390" t="s">
        <v>30</v>
      </c>
      <c r="C1390">
        <v>2021</v>
      </c>
      <c r="D1390" t="s">
        <v>50</v>
      </c>
      <c r="E1390">
        <v>17</v>
      </c>
      <c r="F1390">
        <v>20</v>
      </c>
      <c r="G1390">
        <v>-3</v>
      </c>
      <c r="H1390">
        <v>0</v>
      </c>
      <c r="I1390" t="s">
        <v>19</v>
      </c>
    </row>
    <row r="1391" spans="1:9">
      <c r="A1391" t="s">
        <v>28</v>
      </c>
      <c r="B1391" t="s">
        <v>14</v>
      </c>
      <c r="C1391">
        <v>2021</v>
      </c>
      <c r="D1391" t="s">
        <v>50</v>
      </c>
      <c r="E1391">
        <v>9</v>
      </c>
      <c r="F1391">
        <v>13</v>
      </c>
      <c r="G1391">
        <v>-4</v>
      </c>
      <c r="H1391">
        <v>0</v>
      </c>
      <c r="I1391" t="s">
        <v>24</v>
      </c>
    </row>
    <row r="1392" spans="1:9">
      <c r="A1392" t="s">
        <v>115</v>
      </c>
      <c r="B1392" t="s">
        <v>87</v>
      </c>
      <c r="C1392">
        <v>2021</v>
      </c>
      <c r="D1392" t="s">
        <v>50</v>
      </c>
      <c r="E1392">
        <v>15</v>
      </c>
      <c r="F1392">
        <v>14</v>
      </c>
      <c r="G1392">
        <v>1</v>
      </c>
      <c r="H1392">
        <v>0</v>
      </c>
      <c r="I1392" t="s">
        <v>24</v>
      </c>
    </row>
    <row r="1393" spans="1:9">
      <c r="A1393" t="s">
        <v>29</v>
      </c>
      <c r="B1393" t="s">
        <v>86</v>
      </c>
      <c r="C1393">
        <v>2021</v>
      </c>
      <c r="D1393" t="s">
        <v>50</v>
      </c>
      <c r="E1393">
        <v>6</v>
      </c>
      <c r="F1393">
        <v>9</v>
      </c>
      <c r="G1393">
        <v>-3</v>
      </c>
      <c r="H1393">
        <v>2</v>
      </c>
      <c r="I1393" t="s">
        <v>12</v>
      </c>
    </row>
    <row r="1394" spans="1:9">
      <c r="A1394" t="s">
        <v>31</v>
      </c>
      <c r="B1394" t="s">
        <v>27</v>
      </c>
      <c r="C1394">
        <v>2021</v>
      </c>
      <c r="D1394" t="s">
        <v>50</v>
      </c>
      <c r="E1394">
        <v>12</v>
      </c>
      <c r="F1394">
        <v>8</v>
      </c>
      <c r="G1394">
        <v>4</v>
      </c>
      <c r="H1394">
        <v>4</v>
      </c>
      <c r="I1394" t="s">
        <v>12</v>
      </c>
    </row>
    <row r="1395" spans="1:9">
      <c r="A1395" t="s">
        <v>32</v>
      </c>
      <c r="B1395" t="s">
        <v>33</v>
      </c>
      <c r="C1395">
        <v>2021</v>
      </c>
      <c r="D1395" t="s">
        <v>50</v>
      </c>
      <c r="E1395">
        <v>2</v>
      </c>
      <c r="F1395">
        <v>3</v>
      </c>
      <c r="G1395">
        <v>-1</v>
      </c>
      <c r="H1395">
        <v>15</v>
      </c>
      <c r="I1395" t="s">
        <v>12</v>
      </c>
    </row>
    <row r="1396" spans="1:9">
      <c r="A1396" t="s">
        <v>34</v>
      </c>
      <c r="B1396" t="s">
        <v>36</v>
      </c>
      <c r="C1396">
        <v>2021</v>
      </c>
      <c r="D1396" t="s">
        <v>50</v>
      </c>
      <c r="E1396">
        <v>8</v>
      </c>
      <c r="F1396">
        <v>11</v>
      </c>
      <c r="G1396">
        <v>-3</v>
      </c>
      <c r="H1396">
        <v>0</v>
      </c>
      <c r="I1396" t="s">
        <v>24</v>
      </c>
    </row>
    <row r="1397" spans="1:9">
      <c r="A1397" t="s">
        <v>101</v>
      </c>
      <c r="B1397" t="s">
        <v>36</v>
      </c>
      <c r="C1397">
        <v>2021</v>
      </c>
      <c r="D1397" t="s">
        <v>50</v>
      </c>
      <c r="E1397">
        <v>18</v>
      </c>
      <c r="F1397">
        <v>16</v>
      </c>
      <c r="G1397">
        <v>2</v>
      </c>
      <c r="H1397">
        <v>0</v>
      </c>
      <c r="I1397" t="s">
        <v>24</v>
      </c>
    </row>
    <row r="1398" spans="1:9">
      <c r="A1398" t="s">
        <v>37</v>
      </c>
      <c r="B1398" t="s">
        <v>86</v>
      </c>
      <c r="C1398">
        <v>2021</v>
      </c>
      <c r="D1398" t="s">
        <v>50</v>
      </c>
      <c r="E1398">
        <v>7</v>
      </c>
      <c r="F1398">
        <v>12</v>
      </c>
      <c r="G1398">
        <v>-5</v>
      </c>
      <c r="H1398">
        <v>0</v>
      </c>
      <c r="I1398" t="s">
        <v>24</v>
      </c>
    </row>
    <row r="1399" spans="1:9">
      <c r="A1399" t="s">
        <v>116</v>
      </c>
      <c r="B1399" t="s">
        <v>16</v>
      </c>
      <c r="C1399">
        <v>2021</v>
      </c>
      <c r="D1399" t="s">
        <v>50</v>
      </c>
      <c r="E1399">
        <v>20</v>
      </c>
      <c r="F1399">
        <v>19</v>
      </c>
      <c r="G1399">
        <v>1</v>
      </c>
      <c r="H1399">
        <v>0</v>
      </c>
      <c r="I1399" t="s">
        <v>53</v>
      </c>
    </row>
    <row r="1400" spans="1:9">
      <c r="A1400" t="s">
        <v>102</v>
      </c>
      <c r="B1400" t="s">
        <v>16</v>
      </c>
      <c r="C1400">
        <v>2021</v>
      </c>
      <c r="D1400" t="s">
        <v>50</v>
      </c>
      <c r="E1400">
        <v>19</v>
      </c>
      <c r="F1400">
        <v>18</v>
      </c>
      <c r="G1400">
        <v>1</v>
      </c>
      <c r="H1400">
        <v>0</v>
      </c>
      <c r="I1400" t="s">
        <v>53</v>
      </c>
    </row>
    <row r="1401" spans="1:9">
      <c r="A1401" t="s">
        <v>9</v>
      </c>
      <c r="B1401" t="s">
        <v>10</v>
      </c>
      <c r="C1401">
        <v>2021</v>
      </c>
      <c r="D1401" t="s">
        <v>54</v>
      </c>
      <c r="E1401">
        <v>2</v>
      </c>
      <c r="F1401">
        <v>15</v>
      </c>
      <c r="G1401">
        <v>-13</v>
      </c>
      <c r="H1401">
        <v>0</v>
      </c>
      <c r="I1401" t="s">
        <v>12</v>
      </c>
    </row>
    <row r="1402" spans="1:9">
      <c r="A1402" t="s">
        <v>13</v>
      </c>
      <c r="B1402" t="s">
        <v>30</v>
      </c>
      <c r="C1402">
        <v>2021</v>
      </c>
      <c r="D1402" t="s">
        <v>54</v>
      </c>
      <c r="E1402">
        <v>8</v>
      </c>
      <c r="F1402">
        <v>6</v>
      </c>
      <c r="G1402">
        <v>2</v>
      </c>
      <c r="H1402">
        <v>8</v>
      </c>
      <c r="I1402" t="s">
        <v>12</v>
      </c>
    </row>
    <row r="1403" spans="1:9">
      <c r="A1403" t="s">
        <v>114</v>
      </c>
      <c r="B1403" t="s">
        <v>87</v>
      </c>
      <c r="C1403">
        <v>2021</v>
      </c>
      <c r="D1403" t="s">
        <v>54</v>
      </c>
      <c r="E1403">
        <v>14</v>
      </c>
      <c r="F1403">
        <v>10</v>
      </c>
      <c r="G1403">
        <v>4</v>
      </c>
      <c r="H1403">
        <v>1</v>
      </c>
      <c r="I1403" t="s">
        <v>12</v>
      </c>
    </row>
    <row r="1404" spans="1:9">
      <c r="A1404" t="s">
        <v>100</v>
      </c>
      <c r="B1404" t="s">
        <v>14</v>
      </c>
      <c r="C1404">
        <v>2021</v>
      </c>
      <c r="D1404" t="s">
        <v>54</v>
      </c>
      <c r="E1404">
        <v>11</v>
      </c>
      <c r="F1404">
        <v>2</v>
      </c>
      <c r="G1404">
        <v>9</v>
      </c>
      <c r="H1404">
        <v>18</v>
      </c>
      <c r="I1404" t="s">
        <v>12</v>
      </c>
    </row>
    <row r="1405" spans="1:9">
      <c r="A1405" t="s">
        <v>17</v>
      </c>
      <c r="B1405" t="s">
        <v>18</v>
      </c>
      <c r="C1405">
        <v>2021</v>
      </c>
      <c r="D1405" t="s">
        <v>54</v>
      </c>
      <c r="E1405">
        <v>6</v>
      </c>
      <c r="F1405">
        <v>1</v>
      </c>
      <c r="G1405">
        <v>5</v>
      </c>
      <c r="H1405">
        <v>25</v>
      </c>
      <c r="I1405" t="s">
        <v>12</v>
      </c>
    </row>
    <row r="1406" spans="1:9">
      <c r="A1406" t="s">
        <v>46</v>
      </c>
      <c r="B1406" t="s">
        <v>33</v>
      </c>
      <c r="C1406">
        <v>2021</v>
      </c>
      <c r="D1406" t="s">
        <v>54</v>
      </c>
      <c r="E1406">
        <v>13</v>
      </c>
      <c r="F1406">
        <v>9</v>
      </c>
      <c r="G1406">
        <v>4</v>
      </c>
      <c r="H1406">
        <v>2</v>
      </c>
      <c r="I1406" t="s">
        <v>12</v>
      </c>
    </row>
    <row r="1407" spans="1:9">
      <c r="A1407" t="s">
        <v>20</v>
      </c>
      <c r="B1407" t="s">
        <v>10</v>
      </c>
      <c r="C1407">
        <v>2021</v>
      </c>
      <c r="D1407" t="s">
        <v>54</v>
      </c>
      <c r="E1407">
        <v>10</v>
      </c>
      <c r="F1407">
        <v>12</v>
      </c>
      <c r="G1407">
        <v>-2</v>
      </c>
      <c r="H1407">
        <v>0</v>
      </c>
      <c r="I1407" t="s">
        <v>12</v>
      </c>
    </row>
    <row r="1408" spans="1:9">
      <c r="A1408" t="s">
        <v>25</v>
      </c>
      <c r="B1408" t="s">
        <v>18</v>
      </c>
      <c r="C1408">
        <v>2021</v>
      </c>
      <c r="D1408" t="s">
        <v>54</v>
      </c>
      <c r="E1408">
        <v>3</v>
      </c>
      <c r="F1408">
        <v>18</v>
      </c>
      <c r="G1408">
        <v>-15</v>
      </c>
      <c r="H1408">
        <v>0</v>
      </c>
      <c r="I1408" t="s">
        <v>49</v>
      </c>
    </row>
    <row r="1409" spans="1:9">
      <c r="A1409" t="s">
        <v>26</v>
      </c>
      <c r="B1409" t="s">
        <v>27</v>
      </c>
      <c r="C1409">
        <v>2021</v>
      </c>
      <c r="D1409" t="s">
        <v>54</v>
      </c>
      <c r="E1409">
        <v>5</v>
      </c>
      <c r="F1409">
        <v>8</v>
      </c>
      <c r="G1409">
        <v>-3</v>
      </c>
      <c r="H1409">
        <v>4</v>
      </c>
      <c r="I1409" t="s">
        <v>12</v>
      </c>
    </row>
    <row r="1410" spans="1:9">
      <c r="A1410" t="s">
        <v>48</v>
      </c>
      <c r="B1410" t="s">
        <v>30</v>
      </c>
      <c r="C1410">
        <v>2021</v>
      </c>
      <c r="D1410" t="s">
        <v>54</v>
      </c>
      <c r="E1410">
        <v>12</v>
      </c>
      <c r="F1410">
        <v>20</v>
      </c>
      <c r="G1410">
        <v>-8</v>
      </c>
      <c r="H1410">
        <v>0</v>
      </c>
      <c r="I1410" t="s">
        <v>113</v>
      </c>
    </row>
    <row r="1411" spans="1:9">
      <c r="A1411" t="s">
        <v>28</v>
      </c>
      <c r="B1411" t="s">
        <v>14</v>
      </c>
      <c r="C1411">
        <v>2021</v>
      </c>
      <c r="D1411" t="s">
        <v>54</v>
      </c>
      <c r="E1411">
        <v>19</v>
      </c>
      <c r="F1411">
        <v>19</v>
      </c>
      <c r="G1411">
        <v>0</v>
      </c>
      <c r="H1411">
        <v>0</v>
      </c>
      <c r="I1411" t="s">
        <v>49</v>
      </c>
    </row>
    <row r="1412" spans="1:9">
      <c r="A1412" t="s">
        <v>115</v>
      </c>
      <c r="B1412" t="s">
        <v>87</v>
      </c>
      <c r="C1412">
        <v>2021</v>
      </c>
      <c r="D1412" t="s">
        <v>54</v>
      </c>
      <c r="E1412">
        <v>20</v>
      </c>
      <c r="F1412">
        <v>11</v>
      </c>
      <c r="G1412">
        <v>9</v>
      </c>
      <c r="H1412">
        <v>0</v>
      </c>
      <c r="I1412" t="s">
        <v>12</v>
      </c>
    </row>
    <row r="1413" spans="1:9">
      <c r="A1413" t="s">
        <v>29</v>
      </c>
      <c r="B1413" t="s">
        <v>86</v>
      </c>
      <c r="C1413">
        <v>2021</v>
      </c>
      <c r="D1413" t="s">
        <v>54</v>
      </c>
      <c r="E1413">
        <v>4</v>
      </c>
      <c r="F1413">
        <v>3</v>
      </c>
      <c r="G1413">
        <v>1</v>
      </c>
      <c r="H1413">
        <v>15</v>
      </c>
      <c r="I1413" t="s">
        <v>12</v>
      </c>
    </row>
    <row r="1414" spans="1:9">
      <c r="A1414" t="s">
        <v>31</v>
      </c>
      <c r="B1414" t="s">
        <v>27</v>
      </c>
      <c r="C1414">
        <v>2021</v>
      </c>
      <c r="D1414" t="s">
        <v>54</v>
      </c>
      <c r="E1414">
        <v>1</v>
      </c>
      <c r="F1414">
        <v>4</v>
      </c>
      <c r="G1414">
        <v>-3</v>
      </c>
      <c r="H1414">
        <v>12</v>
      </c>
      <c r="I1414" t="s">
        <v>12</v>
      </c>
    </row>
    <row r="1415" spans="1:9">
      <c r="A1415" t="s">
        <v>32</v>
      </c>
      <c r="B1415" t="s">
        <v>33</v>
      </c>
      <c r="C1415">
        <v>2021</v>
      </c>
      <c r="D1415" t="s">
        <v>54</v>
      </c>
      <c r="E1415">
        <v>9</v>
      </c>
      <c r="F1415">
        <v>5</v>
      </c>
      <c r="G1415">
        <v>4</v>
      </c>
      <c r="H1415">
        <v>10</v>
      </c>
      <c r="I1415" t="s">
        <v>12</v>
      </c>
    </row>
    <row r="1416" spans="1:9">
      <c r="A1416" t="s">
        <v>34</v>
      </c>
      <c r="B1416" t="s">
        <v>36</v>
      </c>
      <c r="C1416">
        <v>2021</v>
      </c>
      <c r="D1416" t="s">
        <v>54</v>
      </c>
      <c r="E1416">
        <v>15</v>
      </c>
      <c r="F1416">
        <v>17</v>
      </c>
      <c r="G1416">
        <v>-2</v>
      </c>
      <c r="H1416">
        <v>0</v>
      </c>
      <c r="I1416" t="s">
        <v>61</v>
      </c>
    </row>
    <row r="1417" spans="1:9">
      <c r="A1417" t="s">
        <v>101</v>
      </c>
      <c r="B1417" t="s">
        <v>36</v>
      </c>
      <c r="C1417">
        <v>2021</v>
      </c>
      <c r="D1417" t="s">
        <v>54</v>
      </c>
      <c r="E1417">
        <v>16</v>
      </c>
      <c r="F1417">
        <v>16</v>
      </c>
      <c r="G1417">
        <v>0</v>
      </c>
      <c r="H1417">
        <v>0</v>
      </c>
      <c r="I1417" t="s">
        <v>12</v>
      </c>
    </row>
    <row r="1418" spans="1:9">
      <c r="A1418" t="s">
        <v>37</v>
      </c>
      <c r="B1418" t="s">
        <v>86</v>
      </c>
      <c r="C1418">
        <v>2021</v>
      </c>
      <c r="D1418" t="s">
        <v>54</v>
      </c>
      <c r="E1418">
        <v>7</v>
      </c>
      <c r="F1418">
        <v>7</v>
      </c>
      <c r="G1418">
        <v>0</v>
      </c>
      <c r="H1418">
        <v>6</v>
      </c>
      <c r="I1418" t="s">
        <v>12</v>
      </c>
    </row>
    <row r="1419" spans="1:9">
      <c r="A1419" t="s">
        <v>116</v>
      </c>
      <c r="B1419" t="s">
        <v>16</v>
      </c>
      <c r="C1419">
        <v>2021</v>
      </c>
      <c r="D1419" t="s">
        <v>54</v>
      </c>
      <c r="E1419">
        <v>18</v>
      </c>
      <c r="F1419">
        <v>14</v>
      </c>
      <c r="G1419">
        <v>4</v>
      </c>
      <c r="H1419">
        <v>0</v>
      </c>
      <c r="I1419" t="s">
        <v>12</v>
      </c>
    </row>
    <row r="1420" spans="1:9">
      <c r="A1420" t="s">
        <v>102</v>
      </c>
      <c r="B1420" t="s">
        <v>16</v>
      </c>
      <c r="C1420">
        <v>2021</v>
      </c>
      <c r="D1420" t="s">
        <v>54</v>
      </c>
      <c r="E1420">
        <v>17</v>
      </c>
      <c r="F1420">
        <v>13</v>
      </c>
      <c r="G1420">
        <v>4</v>
      </c>
      <c r="H1420">
        <v>0</v>
      </c>
      <c r="I1420" t="s">
        <v>12</v>
      </c>
    </row>
    <row r="1421" spans="1:9">
      <c r="A1421" t="s">
        <v>9</v>
      </c>
      <c r="B1421" t="s">
        <v>10</v>
      </c>
      <c r="C1421">
        <v>2021</v>
      </c>
      <c r="D1421" t="s">
        <v>57</v>
      </c>
      <c r="E1421">
        <v>2</v>
      </c>
      <c r="F1421">
        <v>1</v>
      </c>
      <c r="G1421">
        <v>1</v>
      </c>
      <c r="H1421">
        <v>25</v>
      </c>
      <c r="I1421" t="s">
        <v>12</v>
      </c>
    </row>
    <row r="1422" spans="1:9">
      <c r="A1422" t="s">
        <v>13</v>
      </c>
      <c r="B1422" t="s">
        <v>30</v>
      </c>
      <c r="C1422">
        <v>2021</v>
      </c>
      <c r="D1422" t="s">
        <v>57</v>
      </c>
      <c r="E1422">
        <v>9</v>
      </c>
      <c r="F1422">
        <v>19</v>
      </c>
      <c r="G1422">
        <v>-10</v>
      </c>
      <c r="H1422">
        <v>0</v>
      </c>
      <c r="I1422" t="s">
        <v>47</v>
      </c>
    </row>
    <row r="1423" spans="1:9">
      <c r="A1423" t="s">
        <v>114</v>
      </c>
      <c r="B1423" t="s">
        <v>87</v>
      </c>
      <c r="C1423">
        <v>2021</v>
      </c>
      <c r="D1423" t="s">
        <v>57</v>
      </c>
      <c r="E1423">
        <v>14</v>
      </c>
      <c r="F1423">
        <v>11</v>
      </c>
      <c r="G1423">
        <v>3</v>
      </c>
      <c r="H1423">
        <v>0</v>
      </c>
      <c r="I1423" t="s">
        <v>12</v>
      </c>
    </row>
    <row r="1424" spans="1:9">
      <c r="A1424" t="s">
        <v>100</v>
      </c>
      <c r="B1424" t="s">
        <v>14</v>
      </c>
      <c r="C1424">
        <v>2021</v>
      </c>
      <c r="D1424" t="s">
        <v>57</v>
      </c>
      <c r="E1424">
        <v>20</v>
      </c>
      <c r="F1424">
        <v>15</v>
      </c>
      <c r="G1424">
        <v>5</v>
      </c>
      <c r="H1424">
        <v>0</v>
      </c>
      <c r="I1424" t="s">
        <v>24</v>
      </c>
    </row>
    <row r="1425" spans="1:9">
      <c r="A1425" t="s">
        <v>17</v>
      </c>
      <c r="B1425" t="s">
        <v>18</v>
      </c>
      <c r="C1425">
        <v>2021</v>
      </c>
      <c r="D1425" t="s">
        <v>57</v>
      </c>
      <c r="E1425">
        <v>0</v>
      </c>
      <c r="F1425">
        <v>5</v>
      </c>
      <c r="G1425">
        <v>-5</v>
      </c>
      <c r="H1425">
        <v>10</v>
      </c>
      <c r="I1425" t="s">
        <v>12</v>
      </c>
    </row>
    <row r="1426" spans="1:9">
      <c r="A1426" t="s">
        <v>46</v>
      </c>
      <c r="B1426" t="s">
        <v>33</v>
      </c>
      <c r="C1426">
        <v>2021</v>
      </c>
      <c r="D1426" t="s">
        <v>57</v>
      </c>
      <c r="E1426">
        <v>6</v>
      </c>
      <c r="F1426">
        <v>7</v>
      </c>
      <c r="G1426">
        <v>-1</v>
      </c>
      <c r="H1426">
        <v>6</v>
      </c>
      <c r="I1426" t="s">
        <v>12</v>
      </c>
    </row>
    <row r="1427" spans="1:9">
      <c r="A1427" t="s">
        <v>20</v>
      </c>
      <c r="B1427" t="s">
        <v>10</v>
      </c>
      <c r="C1427">
        <v>2021</v>
      </c>
      <c r="D1427" t="s">
        <v>57</v>
      </c>
      <c r="E1427">
        <v>3</v>
      </c>
      <c r="F1427">
        <v>3</v>
      </c>
      <c r="G1427">
        <v>0</v>
      </c>
      <c r="H1427">
        <v>16</v>
      </c>
      <c r="I1427" t="s">
        <v>12</v>
      </c>
    </row>
    <row r="1428" spans="1:9">
      <c r="A1428" t="s">
        <v>25</v>
      </c>
      <c r="B1428" t="s">
        <v>18</v>
      </c>
      <c r="C1428">
        <v>2021</v>
      </c>
      <c r="D1428" t="s">
        <v>57</v>
      </c>
      <c r="E1428">
        <v>1</v>
      </c>
      <c r="F1428">
        <v>2</v>
      </c>
      <c r="G1428">
        <v>-1</v>
      </c>
      <c r="H1428">
        <v>18</v>
      </c>
      <c r="I1428" t="s">
        <v>12</v>
      </c>
    </row>
    <row r="1429" spans="1:9">
      <c r="A1429" t="s">
        <v>26</v>
      </c>
      <c r="B1429" t="s">
        <v>27</v>
      </c>
      <c r="C1429">
        <v>2021</v>
      </c>
      <c r="D1429" t="s">
        <v>57</v>
      </c>
      <c r="E1429">
        <v>8</v>
      </c>
      <c r="F1429">
        <v>8</v>
      </c>
      <c r="G1429">
        <v>0</v>
      </c>
      <c r="H1429">
        <v>4</v>
      </c>
      <c r="I1429" t="s">
        <v>12</v>
      </c>
    </row>
    <row r="1430" spans="1:9">
      <c r="A1430" t="s">
        <v>48</v>
      </c>
      <c r="B1430" t="s">
        <v>30</v>
      </c>
      <c r="C1430">
        <v>2021</v>
      </c>
      <c r="D1430" t="s">
        <v>57</v>
      </c>
      <c r="E1430">
        <v>16</v>
      </c>
      <c r="F1430">
        <v>13</v>
      </c>
      <c r="G1430">
        <v>3</v>
      </c>
      <c r="H1430">
        <v>0</v>
      </c>
      <c r="I1430" t="s">
        <v>24</v>
      </c>
    </row>
    <row r="1431" spans="1:9">
      <c r="A1431" t="s">
        <v>28</v>
      </c>
      <c r="B1431" t="s">
        <v>14</v>
      </c>
      <c r="C1431">
        <v>2021</v>
      </c>
      <c r="D1431" t="s">
        <v>57</v>
      </c>
      <c r="E1431">
        <v>10</v>
      </c>
      <c r="F1431">
        <v>10</v>
      </c>
      <c r="G1431">
        <v>0</v>
      </c>
      <c r="H1431">
        <v>1</v>
      </c>
      <c r="I1431" t="s">
        <v>12</v>
      </c>
    </row>
    <row r="1432" spans="1:9">
      <c r="A1432" t="s">
        <v>115</v>
      </c>
      <c r="B1432" t="s">
        <v>87</v>
      </c>
      <c r="C1432">
        <v>2021</v>
      </c>
      <c r="D1432" t="s">
        <v>57</v>
      </c>
      <c r="E1432">
        <v>12</v>
      </c>
      <c r="F1432">
        <v>12</v>
      </c>
      <c r="G1432">
        <v>0</v>
      </c>
      <c r="H1432">
        <v>0</v>
      </c>
      <c r="I1432" t="s">
        <v>24</v>
      </c>
    </row>
    <row r="1433" spans="1:9">
      <c r="A1433" t="s">
        <v>29</v>
      </c>
      <c r="B1433" t="s">
        <v>86</v>
      </c>
      <c r="C1433">
        <v>2021</v>
      </c>
      <c r="D1433" t="s">
        <v>57</v>
      </c>
      <c r="E1433">
        <v>5</v>
      </c>
      <c r="F1433">
        <v>17</v>
      </c>
      <c r="G1433">
        <v>-12</v>
      </c>
      <c r="H1433">
        <v>0</v>
      </c>
      <c r="I1433" t="s">
        <v>55</v>
      </c>
    </row>
    <row r="1434" spans="1:9">
      <c r="A1434" t="s">
        <v>31</v>
      </c>
      <c r="B1434" t="s">
        <v>27</v>
      </c>
      <c r="C1434">
        <v>2021</v>
      </c>
      <c r="D1434" t="s">
        <v>57</v>
      </c>
      <c r="E1434">
        <v>4</v>
      </c>
      <c r="F1434">
        <v>6</v>
      </c>
      <c r="G1434">
        <v>-2</v>
      </c>
      <c r="H1434">
        <v>8</v>
      </c>
      <c r="I1434" t="s">
        <v>12</v>
      </c>
    </row>
    <row r="1435" spans="1:9">
      <c r="A1435" t="s">
        <v>32</v>
      </c>
      <c r="B1435" t="s">
        <v>33</v>
      </c>
      <c r="C1435">
        <v>2021</v>
      </c>
      <c r="D1435" t="s">
        <v>57</v>
      </c>
      <c r="E1435">
        <v>7</v>
      </c>
      <c r="F1435">
        <v>4</v>
      </c>
      <c r="G1435">
        <v>3</v>
      </c>
      <c r="H1435">
        <v>12</v>
      </c>
      <c r="I1435" t="s">
        <v>12</v>
      </c>
    </row>
    <row r="1436" spans="1:9">
      <c r="A1436" t="s">
        <v>34</v>
      </c>
      <c r="B1436" t="s">
        <v>36</v>
      </c>
      <c r="C1436">
        <v>2021</v>
      </c>
      <c r="D1436" t="s">
        <v>57</v>
      </c>
      <c r="E1436">
        <v>15</v>
      </c>
      <c r="F1436">
        <v>14</v>
      </c>
      <c r="G1436">
        <v>1</v>
      </c>
      <c r="H1436">
        <v>0</v>
      </c>
      <c r="I1436" t="s">
        <v>24</v>
      </c>
    </row>
    <row r="1437" spans="1:9">
      <c r="A1437" t="s">
        <v>101</v>
      </c>
      <c r="B1437" t="s">
        <v>36</v>
      </c>
      <c r="C1437">
        <v>2021</v>
      </c>
      <c r="D1437" t="s">
        <v>57</v>
      </c>
      <c r="E1437">
        <v>17</v>
      </c>
      <c r="F1437">
        <v>18</v>
      </c>
      <c r="G1437">
        <v>-1</v>
      </c>
      <c r="H1437">
        <v>0</v>
      </c>
      <c r="I1437" t="s">
        <v>55</v>
      </c>
    </row>
    <row r="1438" spans="1:9">
      <c r="A1438" t="s">
        <v>37</v>
      </c>
      <c r="B1438" t="s">
        <v>86</v>
      </c>
      <c r="C1438">
        <v>2021</v>
      </c>
      <c r="D1438" t="s">
        <v>57</v>
      </c>
      <c r="E1438">
        <v>13</v>
      </c>
      <c r="F1438">
        <v>9</v>
      </c>
      <c r="G1438">
        <v>4</v>
      </c>
      <c r="H1438">
        <v>2</v>
      </c>
      <c r="I1438" t="s">
        <v>12</v>
      </c>
    </row>
    <row r="1439" spans="1:9">
      <c r="A1439" t="s">
        <v>116</v>
      </c>
      <c r="B1439" t="s">
        <v>16</v>
      </c>
      <c r="C1439">
        <v>2021</v>
      </c>
      <c r="D1439" t="s">
        <v>57</v>
      </c>
      <c r="E1439">
        <v>19</v>
      </c>
      <c r="F1439">
        <v>20</v>
      </c>
      <c r="G1439">
        <v>-1</v>
      </c>
      <c r="H1439">
        <v>0</v>
      </c>
      <c r="I1439" t="s">
        <v>49</v>
      </c>
    </row>
    <row r="1440" spans="1:9">
      <c r="A1440" t="s">
        <v>102</v>
      </c>
      <c r="B1440" t="s">
        <v>16</v>
      </c>
      <c r="C1440">
        <v>2021</v>
      </c>
      <c r="D1440" t="s">
        <v>57</v>
      </c>
      <c r="E1440">
        <v>18</v>
      </c>
      <c r="F1440">
        <v>16</v>
      </c>
      <c r="G1440">
        <v>2</v>
      </c>
      <c r="H1440">
        <v>0</v>
      </c>
      <c r="I1440" t="s">
        <v>24</v>
      </c>
    </row>
    <row r="1441" spans="1:9">
      <c r="A1441" t="s">
        <v>9</v>
      </c>
      <c r="B1441" t="s">
        <v>10</v>
      </c>
      <c r="C1441">
        <v>2021</v>
      </c>
      <c r="D1441" t="s">
        <v>58</v>
      </c>
      <c r="E1441">
        <v>3</v>
      </c>
      <c r="F1441">
        <v>3</v>
      </c>
      <c r="G1441">
        <v>0</v>
      </c>
      <c r="I1441" t="s">
        <v>12</v>
      </c>
    </row>
    <row r="1442" spans="1:9">
      <c r="A1442" t="s">
        <v>13</v>
      </c>
      <c r="B1442" t="s">
        <v>30</v>
      </c>
      <c r="C1442">
        <v>2021</v>
      </c>
      <c r="D1442" t="s">
        <v>58</v>
      </c>
      <c r="E1442">
        <v>12</v>
      </c>
      <c r="F1442">
        <v>11</v>
      </c>
      <c r="G1442">
        <v>1</v>
      </c>
      <c r="H1442">
        <v>0</v>
      </c>
      <c r="I1442" t="s">
        <v>12</v>
      </c>
    </row>
    <row r="1443" spans="1:9">
      <c r="A1443" t="s">
        <v>114</v>
      </c>
      <c r="B1443" t="s">
        <v>87</v>
      </c>
      <c r="C1443">
        <v>2021</v>
      </c>
      <c r="D1443" t="s">
        <v>58</v>
      </c>
      <c r="E1443">
        <v>0</v>
      </c>
      <c r="F1443">
        <v>18</v>
      </c>
      <c r="G1443">
        <v>-18</v>
      </c>
      <c r="H1443">
        <v>0</v>
      </c>
      <c r="I1443" t="s">
        <v>12</v>
      </c>
    </row>
    <row r="1444" spans="1:9">
      <c r="A1444" t="s">
        <v>100</v>
      </c>
      <c r="B1444" t="s">
        <v>14</v>
      </c>
      <c r="C1444">
        <v>2021</v>
      </c>
      <c r="D1444" t="s">
        <v>58</v>
      </c>
      <c r="E1444">
        <v>5</v>
      </c>
      <c r="F1444">
        <v>5</v>
      </c>
      <c r="G1444">
        <v>0</v>
      </c>
      <c r="H1444">
        <v>5</v>
      </c>
      <c r="I1444" t="s">
        <v>12</v>
      </c>
    </row>
    <row r="1445" spans="1:9">
      <c r="A1445" t="s">
        <v>17</v>
      </c>
      <c r="B1445" t="s">
        <v>18</v>
      </c>
      <c r="C1445">
        <v>2021</v>
      </c>
      <c r="D1445" t="s">
        <v>58</v>
      </c>
      <c r="E1445">
        <v>0</v>
      </c>
      <c r="F1445">
        <v>19</v>
      </c>
      <c r="G1445">
        <v>-19</v>
      </c>
      <c r="H1445">
        <v>0</v>
      </c>
      <c r="I1445" t="s">
        <v>12</v>
      </c>
    </row>
    <row r="1446" spans="1:9">
      <c r="A1446" t="s">
        <v>46</v>
      </c>
      <c r="B1446" t="s">
        <v>33</v>
      </c>
      <c r="C1446">
        <v>2021</v>
      </c>
      <c r="D1446" t="s">
        <v>58</v>
      </c>
      <c r="E1446">
        <v>4</v>
      </c>
      <c r="F1446">
        <v>4</v>
      </c>
      <c r="G1446">
        <v>0</v>
      </c>
      <c r="H1446">
        <v>6</v>
      </c>
      <c r="I1446" t="s">
        <v>12</v>
      </c>
    </row>
    <row r="1447" spans="1:9">
      <c r="A1447" t="s">
        <v>20</v>
      </c>
      <c r="B1447" t="s">
        <v>10</v>
      </c>
      <c r="C1447">
        <v>2021</v>
      </c>
      <c r="D1447" t="s">
        <v>58</v>
      </c>
      <c r="E1447">
        <v>13</v>
      </c>
      <c r="F1447">
        <v>12</v>
      </c>
      <c r="G1447">
        <v>1</v>
      </c>
      <c r="H1447">
        <v>0</v>
      </c>
      <c r="I1447" t="s">
        <v>12</v>
      </c>
    </row>
    <row r="1448" spans="1:9">
      <c r="A1448" t="s">
        <v>25</v>
      </c>
      <c r="B1448" t="s">
        <v>18</v>
      </c>
      <c r="C1448">
        <v>2021</v>
      </c>
      <c r="D1448" t="s">
        <v>58</v>
      </c>
      <c r="E1448">
        <v>1</v>
      </c>
      <c r="F1448">
        <v>1</v>
      </c>
      <c r="G1448">
        <v>0</v>
      </c>
      <c r="I1448" t="s">
        <v>12</v>
      </c>
    </row>
    <row r="1449" spans="1:9">
      <c r="A1449" t="s">
        <v>26</v>
      </c>
      <c r="B1449" t="s">
        <v>27</v>
      </c>
      <c r="C1449">
        <v>2021</v>
      </c>
      <c r="D1449" t="s">
        <v>58</v>
      </c>
      <c r="E1449">
        <v>11</v>
      </c>
      <c r="F1449">
        <v>10</v>
      </c>
      <c r="G1449">
        <v>1</v>
      </c>
      <c r="I1449" t="s">
        <v>12</v>
      </c>
    </row>
    <row r="1450" spans="1:9">
      <c r="A1450" t="s">
        <v>48</v>
      </c>
      <c r="B1450" t="s">
        <v>30</v>
      </c>
      <c r="C1450">
        <v>2021</v>
      </c>
      <c r="D1450" t="s">
        <v>58</v>
      </c>
      <c r="E1450">
        <v>8</v>
      </c>
      <c r="F1450">
        <v>7</v>
      </c>
      <c r="G1450">
        <v>1</v>
      </c>
      <c r="H1450">
        <v>3</v>
      </c>
      <c r="I1450" t="s">
        <v>12</v>
      </c>
    </row>
    <row r="1451" spans="1:9">
      <c r="A1451" t="s">
        <v>28</v>
      </c>
      <c r="B1451" t="s">
        <v>14</v>
      </c>
      <c r="C1451">
        <v>2021</v>
      </c>
      <c r="D1451" t="s">
        <v>58</v>
      </c>
      <c r="E1451">
        <v>19</v>
      </c>
      <c r="F1451">
        <v>20</v>
      </c>
      <c r="G1451">
        <v>-1</v>
      </c>
      <c r="H1451">
        <v>0</v>
      </c>
      <c r="I1451" t="s">
        <v>12</v>
      </c>
    </row>
    <row r="1452" spans="1:9">
      <c r="A1452" t="s">
        <v>115</v>
      </c>
      <c r="B1452" t="s">
        <v>87</v>
      </c>
      <c r="C1452">
        <v>2021</v>
      </c>
      <c r="D1452" t="s">
        <v>58</v>
      </c>
      <c r="E1452">
        <v>14</v>
      </c>
      <c r="F1452">
        <v>13</v>
      </c>
      <c r="G1452">
        <v>1</v>
      </c>
      <c r="H1452">
        <v>0</v>
      </c>
      <c r="I1452" t="s">
        <v>12</v>
      </c>
    </row>
    <row r="1453" spans="1:9">
      <c r="A1453" t="s">
        <v>29</v>
      </c>
      <c r="B1453" t="s">
        <v>86</v>
      </c>
      <c r="C1453">
        <v>2021</v>
      </c>
      <c r="D1453" t="s">
        <v>58</v>
      </c>
      <c r="E1453">
        <v>6</v>
      </c>
      <c r="F1453">
        <v>6</v>
      </c>
      <c r="G1453">
        <v>0</v>
      </c>
      <c r="H1453">
        <v>4</v>
      </c>
      <c r="I1453" t="s">
        <v>12</v>
      </c>
    </row>
    <row r="1454" spans="1:9">
      <c r="A1454" t="s">
        <v>31</v>
      </c>
      <c r="B1454" t="s">
        <v>27</v>
      </c>
      <c r="C1454">
        <v>2021</v>
      </c>
      <c r="D1454" t="s">
        <v>58</v>
      </c>
      <c r="E1454">
        <v>9</v>
      </c>
      <c r="F1454">
        <v>8</v>
      </c>
      <c r="G1454">
        <v>1</v>
      </c>
      <c r="H1454">
        <v>2</v>
      </c>
      <c r="I1454" t="s">
        <v>12</v>
      </c>
    </row>
    <row r="1455" spans="1:9">
      <c r="A1455" t="s">
        <v>32</v>
      </c>
      <c r="B1455" t="s">
        <v>33</v>
      </c>
      <c r="C1455">
        <v>2021</v>
      </c>
      <c r="D1455" t="s">
        <v>58</v>
      </c>
      <c r="E1455">
        <v>15</v>
      </c>
      <c r="F1455">
        <v>14</v>
      </c>
      <c r="G1455">
        <v>1</v>
      </c>
      <c r="H1455">
        <v>0</v>
      </c>
      <c r="I1455" t="s">
        <v>12</v>
      </c>
    </row>
    <row r="1456" spans="1:9">
      <c r="A1456" t="s">
        <v>34</v>
      </c>
      <c r="B1456" t="s">
        <v>36</v>
      </c>
      <c r="C1456">
        <v>2021</v>
      </c>
      <c r="D1456" t="s">
        <v>58</v>
      </c>
      <c r="E1456">
        <v>2</v>
      </c>
      <c r="F1456">
        <v>2</v>
      </c>
      <c r="G1456">
        <v>0</v>
      </c>
      <c r="H1456">
        <v>9</v>
      </c>
      <c r="I1456" t="s">
        <v>12</v>
      </c>
    </row>
    <row r="1457" spans="1:9">
      <c r="A1457" t="s">
        <v>101</v>
      </c>
      <c r="B1457" t="s">
        <v>36</v>
      </c>
      <c r="C1457">
        <v>2021</v>
      </c>
      <c r="D1457" t="s">
        <v>58</v>
      </c>
      <c r="E1457">
        <v>10</v>
      </c>
      <c r="F1457">
        <v>9</v>
      </c>
      <c r="G1457">
        <v>1</v>
      </c>
      <c r="H1457">
        <v>1</v>
      </c>
      <c r="I1457" t="s">
        <v>12</v>
      </c>
    </row>
    <row r="1458" spans="1:9">
      <c r="A1458" t="s">
        <v>37</v>
      </c>
      <c r="B1458" t="s">
        <v>86</v>
      </c>
      <c r="C1458">
        <v>2021</v>
      </c>
      <c r="D1458" t="s">
        <v>58</v>
      </c>
      <c r="E1458">
        <v>16</v>
      </c>
      <c r="F1458">
        <v>15</v>
      </c>
      <c r="G1458">
        <v>1</v>
      </c>
      <c r="H1458">
        <v>0</v>
      </c>
      <c r="I1458" t="s">
        <v>12</v>
      </c>
    </row>
    <row r="1459" spans="1:9">
      <c r="A1459" t="s">
        <v>116</v>
      </c>
      <c r="B1459" t="s">
        <v>16</v>
      </c>
      <c r="C1459">
        <v>2021</v>
      </c>
      <c r="D1459" t="s">
        <v>58</v>
      </c>
      <c r="E1459">
        <v>18</v>
      </c>
      <c r="F1459">
        <v>17</v>
      </c>
      <c r="G1459">
        <v>1</v>
      </c>
      <c r="H1459">
        <v>0</v>
      </c>
      <c r="I1459" t="s">
        <v>12</v>
      </c>
    </row>
    <row r="1460" spans="1:9">
      <c r="A1460" t="s">
        <v>102</v>
      </c>
      <c r="B1460" t="s">
        <v>16</v>
      </c>
      <c r="C1460">
        <v>2021</v>
      </c>
      <c r="D1460" t="s">
        <v>58</v>
      </c>
      <c r="E1460">
        <v>17</v>
      </c>
      <c r="F1460">
        <v>16</v>
      </c>
      <c r="G1460">
        <v>1</v>
      </c>
      <c r="H1460">
        <v>0</v>
      </c>
      <c r="I1460" t="s">
        <v>12</v>
      </c>
    </row>
    <row r="1461" spans="1:9">
      <c r="A1461" t="s">
        <v>9</v>
      </c>
      <c r="B1461" t="s">
        <v>10</v>
      </c>
      <c r="C1461">
        <v>2021</v>
      </c>
      <c r="D1461" t="s">
        <v>60</v>
      </c>
      <c r="E1461">
        <v>2</v>
      </c>
      <c r="F1461">
        <v>1</v>
      </c>
      <c r="G1461">
        <v>1</v>
      </c>
      <c r="H1461">
        <v>25</v>
      </c>
      <c r="I1461" t="s">
        <v>12</v>
      </c>
    </row>
    <row r="1462" spans="1:9">
      <c r="A1462" t="s">
        <v>13</v>
      </c>
      <c r="B1462" t="s">
        <v>30</v>
      </c>
      <c r="C1462">
        <v>2021</v>
      </c>
      <c r="D1462" t="s">
        <v>60</v>
      </c>
      <c r="E1462">
        <v>7</v>
      </c>
      <c r="F1462">
        <v>7</v>
      </c>
      <c r="G1462">
        <v>0</v>
      </c>
      <c r="H1462">
        <v>6</v>
      </c>
      <c r="I1462" t="s">
        <v>12</v>
      </c>
    </row>
    <row r="1463" spans="1:9">
      <c r="A1463" t="s">
        <v>114</v>
      </c>
      <c r="B1463" t="s">
        <v>87</v>
      </c>
      <c r="C1463">
        <v>2021</v>
      </c>
      <c r="D1463" t="s">
        <v>60</v>
      </c>
      <c r="E1463">
        <v>13</v>
      </c>
      <c r="F1463">
        <v>15</v>
      </c>
      <c r="G1463">
        <v>-2</v>
      </c>
      <c r="H1463">
        <v>0</v>
      </c>
      <c r="I1463" t="s">
        <v>24</v>
      </c>
    </row>
    <row r="1464" spans="1:9">
      <c r="A1464" t="s">
        <v>100</v>
      </c>
      <c r="B1464" t="s">
        <v>14</v>
      </c>
      <c r="C1464">
        <v>2021</v>
      </c>
      <c r="D1464" t="s">
        <v>60</v>
      </c>
      <c r="E1464">
        <v>8</v>
      </c>
      <c r="F1464">
        <v>19</v>
      </c>
      <c r="G1464">
        <v>-11</v>
      </c>
      <c r="H1464">
        <v>0</v>
      </c>
      <c r="I1464" t="s">
        <v>55</v>
      </c>
    </row>
    <row r="1465" spans="1:9">
      <c r="A1465" t="s">
        <v>17</v>
      </c>
      <c r="B1465" t="s">
        <v>18</v>
      </c>
      <c r="C1465">
        <v>2021</v>
      </c>
      <c r="D1465" t="s">
        <v>60</v>
      </c>
      <c r="E1465">
        <v>0</v>
      </c>
      <c r="F1465">
        <v>16</v>
      </c>
      <c r="G1465">
        <v>-16</v>
      </c>
      <c r="H1465">
        <v>0</v>
      </c>
      <c r="I1465" t="s">
        <v>24</v>
      </c>
    </row>
    <row r="1466" spans="1:9">
      <c r="A1466" t="s">
        <v>46</v>
      </c>
      <c r="B1466" t="s">
        <v>33</v>
      </c>
      <c r="C1466">
        <v>2021</v>
      </c>
      <c r="D1466" t="s">
        <v>60</v>
      </c>
      <c r="E1466">
        <v>6</v>
      </c>
      <c r="F1466">
        <v>5</v>
      </c>
      <c r="G1466">
        <v>1</v>
      </c>
      <c r="H1466">
        <v>10</v>
      </c>
      <c r="I1466" t="s">
        <v>12</v>
      </c>
    </row>
    <row r="1467" spans="1:9">
      <c r="A1467" t="s">
        <v>20</v>
      </c>
      <c r="B1467" t="s">
        <v>10</v>
      </c>
      <c r="C1467">
        <v>2021</v>
      </c>
      <c r="D1467" t="s">
        <v>60</v>
      </c>
      <c r="E1467">
        <v>3</v>
      </c>
      <c r="F1467">
        <v>3</v>
      </c>
      <c r="G1467">
        <v>0</v>
      </c>
      <c r="H1467">
        <v>15</v>
      </c>
      <c r="I1467" t="s">
        <v>12</v>
      </c>
    </row>
    <row r="1468" spans="1:9">
      <c r="A1468" t="s">
        <v>25</v>
      </c>
      <c r="B1468" t="s">
        <v>18</v>
      </c>
      <c r="C1468">
        <v>2021</v>
      </c>
      <c r="D1468" t="s">
        <v>60</v>
      </c>
      <c r="E1468">
        <v>1</v>
      </c>
      <c r="F1468">
        <v>20</v>
      </c>
      <c r="G1468">
        <v>-19</v>
      </c>
      <c r="H1468">
        <v>0</v>
      </c>
      <c r="I1468" t="s">
        <v>19</v>
      </c>
    </row>
    <row r="1469" spans="1:9">
      <c r="A1469" t="s">
        <v>26</v>
      </c>
      <c r="B1469" t="s">
        <v>27</v>
      </c>
      <c r="C1469">
        <v>2021</v>
      </c>
      <c r="D1469" t="s">
        <v>60</v>
      </c>
      <c r="E1469">
        <v>10</v>
      </c>
      <c r="F1469">
        <v>6</v>
      </c>
      <c r="G1469">
        <v>4</v>
      </c>
      <c r="H1469">
        <v>8</v>
      </c>
      <c r="I1469" t="s">
        <v>12</v>
      </c>
    </row>
    <row r="1470" spans="1:9">
      <c r="A1470" t="s">
        <v>48</v>
      </c>
      <c r="B1470" t="s">
        <v>30</v>
      </c>
      <c r="C1470">
        <v>2021</v>
      </c>
      <c r="D1470" t="s">
        <v>60</v>
      </c>
      <c r="E1470">
        <v>9</v>
      </c>
      <c r="F1470">
        <v>9</v>
      </c>
      <c r="G1470">
        <v>0</v>
      </c>
      <c r="H1470">
        <v>2</v>
      </c>
      <c r="I1470" t="s">
        <v>12</v>
      </c>
    </row>
    <row r="1471" spans="1:9">
      <c r="A1471" t="s">
        <v>28</v>
      </c>
      <c r="B1471" t="s">
        <v>14</v>
      </c>
      <c r="C1471">
        <v>2021</v>
      </c>
      <c r="D1471" t="s">
        <v>60</v>
      </c>
      <c r="E1471">
        <v>14</v>
      </c>
      <c r="F1471">
        <v>8</v>
      </c>
      <c r="G1471">
        <v>6</v>
      </c>
      <c r="H1471">
        <v>4</v>
      </c>
      <c r="I1471" t="s">
        <v>12</v>
      </c>
    </row>
    <row r="1472" spans="1:9">
      <c r="A1472" t="s">
        <v>115</v>
      </c>
      <c r="B1472" t="s">
        <v>87</v>
      </c>
      <c r="C1472">
        <v>2021</v>
      </c>
      <c r="D1472" t="s">
        <v>60</v>
      </c>
      <c r="E1472">
        <v>15</v>
      </c>
      <c r="F1472">
        <v>13</v>
      </c>
      <c r="G1472">
        <v>2</v>
      </c>
      <c r="H1472">
        <v>0</v>
      </c>
      <c r="I1472" t="s">
        <v>24</v>
      </c>
    </row>
    <row r="1473" spans="1:9">
      <c r="A1473" t="s">
        <v>29</v>
      </c>
      <c r="B1473" t="s">
        <v>86</v>
      </c>
      <c r="C1473">
        <v>2021</v>
      </c>
      <c r="D1473" t="s">
        <v>60</v>
      </c>
      <c r="E1473">
        <v>11</v>
      </c>
      <c r="F1473">
        <v>11</v>
      </c>
      <c r="G1473">
        <v>0</v>
      </c>
      <c r="H1473">
        <v>0</v>
      </c>
      <c r="I1473" t="s">
        <v>12</v>
      </c>
    </row>
    <row r="1474" spans="1:9">
      <c r="A1474" t="s">
        <v>31</v>
      </c>
      <c r="B1474" t="s">
        <v>27</v>
      </c>
      <c r="C1474">
        <v>2021</v>
      </c>
      <c r="D1474" t="s">
        <v>60</v>
      </c>
      <c r="E1474">
        <v>4</v>
      </c>
      <c r="F1474">
        <v>2</v>
      </c>
      <c r="G1474">
        <v>2</v>
      </c>
      <c r="H1474">
        <v>18</v>
      </c>
      <c r="I1474" t="s">
        <v>12</v>
      </c>
    </row>
    <row r="1475" spans="1:9">
      <c r="A1475" t="s">
        <v>32</v>
      </c>
      <c r="B1475" t="s">
        <v>33</v>
      </c>
      <c r="C1475">
        <v>2021</v>
      </c>
      <c r="D1475" t="s">
        <v>60</v>
      </c>
      <c r="E1475">
        <v>5</v>
      </c>
      <c r="F1475">
        <v>4</v>
      </c>
      <c r="G1475">
        <v>1</v>
      </c>
      <c r="H1475">
        <v>12</v>
      </c>
      <c r="I1475" t="s">
        <v>12</v>
      </c>
    </row>
    <row r="1476" spans="1:9">
      <c r="A1476" t="s">
        <v>34</v>
      </c>
      <c r="B1476" t="s">
        <v>36</v>
      </c>
      <c r="C1476">
        <v>2021</v>
      </c>
      <c r="D1476" t="s">
        <v>60</v>
      </c>
      <c r="E1476">
        <v>12</v>
      </c>
      <c r="F1476">
        <v>12</v>
      </c>
      <c r="G1476">
        <v>0</v>
      </c>
      <c r="H1476">
        <v>0</v>
      </c>
      <c r="I1476" t="s">
        <v>24</v>
      </c>
    </row>
    <row r="1477" spans="1:9">
      <c r="A1477" t="s">
        <v>101</v>
      </c>
      <c r="B1477" t="s">
        <v>36</v>
      </c>
      <c r="C1477">
        <v>2021</v>
      </c>
      <c r="D1477" t="s">
        <v>60</v>
      </c>
      <c r="E1477">
        <v>17</v>
      </c>
      <c r="F1477">
        <v>14</v>
      </c>
      <c r="G1477">
        <v>3</v>
      </c>
      <c r="H1477">
        <v>0</v>
      </c>
      <c r="I1477" t="s">
        <v>24</v>
      </c>
    </row>
    <row r="1478" spans="1:9">
      <c r="A1478" t="s">
        <v>37</v>
      </c>
      <c r="B1478" t="s">
        <v>86</v>
      </c>
      <c r="C1478">
        <v>2021</v>
      </c>
      <c r="D1478" t="s">
        <v>60</v>
      </c>
      <c r="E1478">
        <v>16</v>
      </c>
      <c r="F1478">
        <v>10</v>
      </c>
      <c r="G1478">
        <v>6</v>
      </c>
      <c r="H1478">
        <v>1</v>
      </c>
      <c r="I1478" t="s">
        <v>12</v>
      </c>
    </row>
    <row r="1479" spans="1:9">
      <c r="A1479" t="s">
        <v>116</v>
      </c>
      <c r="B1479" t="s">
        <v>16</v>
      </c>
      <c r="C1479">
        <v>2021</v>
      </c>
      <c r="D1479" t="s">
        <v>60</v>
      </c>
      <c r="E1479">
        <v>19</v>
      </c>
      <c r="F1479">
        <v>17</v>
      </c>
      <c r="G1479">
        <v>2</v>
      </c>
      <c r="H1479">
        <v>0</v>
      </c>
      <c r="I1479" t="s">
        <v>24</v>
      </c>
    </row>
    <row r="1480" spans="1:9">
      <c r="A1480" t="s">
        <v>102</v>
      </c>
      <c r="B1480" t="s">
        <v>16</v>
      </c>
      <c r="C1480">
        <v>2021</v>
      </c>
      <c r="D1480" t="s">
        <v>60</v>
      </c>
      <c r="E1480">
        <v>18</v>
      </c>
      <c r="F1480">
        <v>18</v>
      </c>
      <c r="G1480">
        <v>0</v>
      </c>
      <c r="H1480">
        <v>0</v>
      </c>
      <c r="I1480" t="s">
        <v>24</v>
      </c>
    </row>
    <row r="1481" spans="1:9">
      <c r="A1481" t="s">
        <v>9</v>
      </c>
      <c r="B1481" t="s">
        <v>10</v>
      </c>
      <c r="C1481">
        <v>2021</v>
      </c>
      <c r="D1481" t="s">
        <v>65</v>
      </c>
      <c r="E1481">
        <v>2</v>
      </c>
      <c r="F1481">
        <v>2</v>
      </c>
      <c r="G1481">
        <v>0</v>
      </c>
      <c r="H1481">
        <v>19</v>
      </c>
      <c r="I1481" t="s">
        <v>12</v>
      </c>
    </row>
    <row r="1482" spans="1:9">
      <c r="A1482" t="s">
        <v>13</v>
      </c>
      <c r="B1482" t="s">
        <v>30</v>
      </c>
      <c r="C1482">
        <v>2021</v>
      </c>
      <c r="D1482" t="s">
        <v>65</v>
      </c>
      <c r="E1482">
        <v>9</v>
      </c>
      <c r="F1482">
        <v>6</v>
      </c>
      <c r="G1482">
        <v>3</v>
      </c>
      <c r="H1482">
        <v>8</v>
      </c>
      <c r="I1482" t="s">
        <v>24</v>
      </c>
    </row>
    <row r="1483" spans="1:9">
      <c r="A1483" t="s">
        <v>117</v>
      </c>
      <c r="B1483" t="s">
        <v>87</v>
      </c>
      <c r="C1483">
        <v>2021</v>
      </c>
      <c r="D1483" t="s">
        <v>65</v>
      </c>
      <c r="E1483">
        <v>16</v>
      </c>
      <c r="F1483">
        <v>15</v>
      </c>
      <c r="G1483">
        <v>1</v>
      </c>
      <c r="H1483">
        <v>0</v>
      </c>
      <c r="I1483" t="s">
        <v>53</v>
      </c>
    </row>
    <row r="1484" spans="1:9">
      <c r="A1484" t="s">
        <v>100</v>
      </c>
      <c r="B1484" t="s">
        <v>14</v>
      </c>
      <c r="C1484">
        <v>2021</v>
      </c>
      <c r="D1484" t="s">
        <v>65</v>
      </c>
      <c r="E1484">
        <v>15</v>
      </c>
      <c r="F1484">
        <v>13</v>
      </c>
      <c r="G1484">
        <v>2</v>
      </c>
      <c r="H1484">
        <v>0</v>
      </c>
      <c r="I1484" t="s">
        <v>53</v>
      </c>
    </row>
    <row r="1485" spans="1:9">
      <c r="A1485" t="s">
        <v>17</v>
      </c>
      <c r="B1485" t="s">
        <v>18</v>
      </c>
      <c r="C1485">
        <v>2021</v>
      </c>
      <c r="D1485" t="s">
        <v>65</v>
      </c>
      <c r="E1485">
        <v>0</v>
      </c>
      <c r="F1485">
        <v>8</v>
      </c>
      <c r="G1485">
        <v>-8</v>
      </c>
      <c r="H1485">
        <v>4</v>
      </c>
      <c r="I1485" t="s">
        <v>24</v>
      </c>
    </row>
    <row r="1486" spans="1:9">
      <c r="A1486" t="s">
        <v>46</v>
      </c>
      <c r="B1486" t="s">
        <v>33</v>
      </c>
      <c r="C1486">
        <v>2021</v>
      </c>
      <c r="D1486" t="s">
        <v>65</v>
      </c>
      <c r="E1486">
        <v>10</v>
      </c>
      <c r="F1486">
        <v>11</v>
      </c>
      <c r="G1486">
        <v>-1</v>
      </c>
      <c r="H1486">
        <v>0</v>
      </c>
      <c r="I1486" t="s">
        <v>24</v>
      </c>
    </row>
    <row r="1487" spans="1:9">
      <c r="A1487" t="s">
        <v>20</v>
      </c>
      <c r="B1487" t="s">
        <v>10</v>
      </c>
      <c r="C1487">
        <v>2021</v>
      </c>
      <c r="D1487" t="s">
        <v>65</v>
      </c>
      <c r="E1487">
        <v>3</v>
      </c>
      <c r="F1487">
        <v>3</v>
      </c>
      <c r="G1487">
        <v>0</v>
      </c>
      <c r="H1487">
        <v>15</v>
      </c>
      <c r="I1487" t="s">
        <v>12</v>
      </c>
    </row>
    <row r="1488" spans="1:9">
      <c r="A1488" t="s">
        <v>25</v>
      </c>
      <c r="B1488" t="s">
        <v>18</v>
      </c>
      <c r="C1488">
        <v>2021</v>
      </c>
      <c r="D1488" t="s">
        <v>65</v>
      </c>
      <c r="E1488">
        <v>1</v>
      </c>
      <c r="F1488">
        <v>1</v>
      </c>
      <c r="G1488">
        <v>0</v>
      </c>
      <c r="H1488">
        <v>25</v>
      </c>
      <c r="I1488" t="s">
        <v>12</v>
      </c>
    </row>
    <row r="1489" spans="1:9">
      <c r="A1489" t="s">
        <v>26</v>
      </c>
      <c r="B1489" t="s">
        <v>27</v>
      </c>
      <c r="C1489">
        <v>2021</v>
      </c>
      <c r="D1489" t="s">
        <v>65</v>
      </c>
      <c r="E1489">
        <v>6</v>
      </c>
      <c r="F1489">
        <v>7</v>
      </c>
      <c r="G1489">
        <v>-1</v>
      </c>
      <c r="H1489">
        <v>6</v>
      </c>
      <c r="I1489" t="s">
        <v>24</v>
      </c>
    </row>
    <row r="1490" spans="1:9">
      <c r="A1490" t="s">
        <v>48</v>
      </c>
      <c r="B1490" t="s">
        <v>30</v>
      </c>
      <c r="C1490">
        <v>2021</v>
      </c>
      <c r="D1490" t="s">
        <v>65</v>
      </c>
      <c r="E1490">
        <v>8</v>
      </c>
      <c r="F1490">
        <v>9</v>
      </c>
      <c r="G1490">
        <v>-1</v>
      </c>
      <c r="H1490">
        <v>2</v>
      </c>
      <c r="I1490" t="s">
        <v>24</v>
      </c>
    </row>
    <row r="1491" spans="1:9">
      <c r="A1491" t="s">
        <v>28</v>
      </c>
      <c r="B1491" t="s">
        <v>14</v>
      </c>
      <c r="C1491">
        <v>2021</v>
      </c>
      <c r="D1491" t="s">
        <v>65</v>
      </c>
      <c r="E1491">
        <v>12</v>
      </c>
      <c r="F1491">
        <v>12</v>
      </c>
      <c r="G1491">
        <v>0</v>
      </c>
      <c r="H1491">
        <v>0</v>
      </c>
      <c r="I1491" t="s">
        <v>53</v>
      </c>
    </row>
    <row r="1492" spans="1:9">
      <c r="A1492" t="s">
        <v>115</v>
      </c>
      <c r="B1492" t="s">
        <v>87</v>
      </c>
      <c r="C1492">
        <v>2021</v>
      </c>
      <c r="D1492" t="s">
        <v>65</v>
      </c>
      <c r="E1492">
        <v>7</v>
      </c>
      <c r="F1492">
        <v>14</v>
      </c>
      <c r="G1492">
        <v>-7</v>
      </c>
      <c r="H1492">
        <v>0</v>
      </c>
      <c r="I1492" t="s">
        <v>53</v>
      </c>
    </row>
    <row r="1493" spans="1:9">
      <c r="A1493" t="s">
        <v>29</v>
      </c>
      <c r="B1493" t="s">
        <v>86</v>
      </c>
      <c r="C1493">
        <v>2021</v>
      </c>
      <c r="D1493" t="s">
        <v>65</v>
      </c>
      <c r="E1493">
        <v>4</v>
      </c>
      <c r="F1493">
        <v>4</v>
      </c>
      <c r="G1493">
        <v>0</v>
      </c>
      <c r="H1493">
        <v>12</v>
      </c>
      <c r="I1493" t="s">
        <v>24</v>
      </c>
    </row>
    <row r="1494" spans="1:9">
      <c r="A1494" t="s">
        <v>31</v>
      </c>
      <c r="B1494" t="s">
        <v>27</v>
      </c>
      <c r="C1494">
        <v>2021</v>
      </c>
      <c r="D1494" t="s">
        <v>65</v>
      </c>
      <c r="E1494">
        <v>5</v>
      </c>
      <c r="F1494">
        <v>5</v>
      </c>
      <c r="G1494">
        <v>0</v>
      </c>
      <c r="H1494">
        <v>10</v>
      </c>
      <c r="I1494" t="s">
        <v>24</v>
      </c>
    </row>
    <row r="1495" spans="1:9">
      <c r="A1495" t="s">
        <v>32</v>
      </c>
      <c r="B1495" t="s">
        <v>33</v>
      </c>
      <c r="C1495">
        <v>2021</v>
      </c>
      <c r="D1495" t="s">
        <v>65</v>
      </c>
      <c r="E1495">
        <v>13</v>
      </c>
      <c r="F1495">
        <v>10</v>
      </c>
      <c r="G1495">
        <v>3</v>
      </c>
      <c r="H1495">
        <v>1</v>
      </c>
      <c r="I1495" t="s">
        <v>24</v>
      </c>
    </row>
    <row r="1496" spans="1:9">
      <c r="A1496" t="s">
        <v>34</v>
      </c>
      <c r="B1496" t="s">
        <v>36</v>
      </c>
      <c r="C1496">
        <v>2021</v>
      </c>
      <c r="D1496" t="s">
        <v>65</v>
      </c>
      <c r="E1496">
        <v>11</v>
      </c>
      <c r="F1496">
        <v>17</v>
      </c>
      <c r="G1496">
        <v>-6</v>
      </c>
      <c r="H1496">
        <v>0</v>
      </c>
      <c r="I1496" t="s">
        <v>61</v>
      </c>
    </row>
    <row r="1497" spans="1:9">
      <c r="A1497" t="s">
        <v>101</v>
      </c>
      <c r="B1497" t="s">
        <v>36</v>
      </c>
      <c r="C1497">
        <v>2021</v>
      </c>
      <c r="D1497" t="s">
        <v>65</v>
      </c>
      <c r="E1497">
        <v>0</v>
      </c>
      <c r="F1497">
        <v>16</v>
      </c>
      <c r="G1497">
        <v>-16</v>
      </c>
      <c r="H1497">
        <v>0</v>
      </c>
      <c r="I1497" t="s">
        <v>53</v>
      </c>
    </row>
    <row r="1498" spans="1:9">
      <c r="A1498" t="s">
        <v>37</v>
      </c>
      <c r="B1498" t="s">
        <v>86</v>
      </c>
      <c r="C1498">
        <v>2021</v>
      </c>
      <c r="D1498" t="s">
        <v>65</v>
      </c>
      <c r="E1498">
        <v>14</v>
      </c>
      <c r="F1498">
        <v>19</v>
      </c>
      <c r="G1498">
        <v>-5</v>
      </c>
      <c r="H1498">
        <v>0</v>
      </c>
      <c r="I1498" t="s">
        <v>81</v>
      </c>
    </row>
    <row r="1499" spans="1:9">
      <c r="A1499" t="s">
        <v>116</v>
      </c>
      <c r="B1499" t="s">
        <v>16</v>
      </c>
      <c r="C1499">
        <v>2021</v>
      </c>
      <c r="D1499" t="s">
        <v>65</v>
      </c>
      <c r="E1499">
        <v>18</v>
      </c>
      <c r="F1499">
        <v>20</v>
      </c>
      <c r="G1499">
        <v>-2</v>
      </c>
      <c r="H1499">
        <v>0</v>
      </c>
      <c r="I1499" t="s">
        <v>68</v>
      </c>
    </row>
    <row r="1500" spans="1:9">
      <c r="A1500" t="s">
        <v>102</v>
      </c>
      <c r="B1500" t="s">
        <v>16</v>
      </c>
      <c r="C1500">
        <v>2021</v>
      </c>
      <c r="D1500" t="s">
        <v>65</v>
      </c>
      <c r="E1500">
        <v>17</v>
      </c>
      <c r="F1500">
        <v>18</v>
      </c>
      <c r="G1500">
        <v>-1</v>
      </c>
      <c r="H1500">
        <v>0</v>
      </c>
      <c r="I1500" t="s">
        <v>118</v>
      </c>
    </row>
    <row r="1501" spans="1:9">
      <c r="A1501" t="s">
        <v>9</v>
      </c>
      <c r="B1501" t="s">
        <v>10</v>
      </c>
      <c r="C1501">
        <v>2021</v>
      </c>
      <c r="D1501" t="s">
        <v>66</v>
      </c>
      <c r="E1501">
        <v>1</v>
      </c>
      <c r="F1501">
        <v>2</v>
      </c>
      <c r="G1501">
        <v>-1</v>
      </c>
      <c r="H1501">
        <v>19</v>
      </c>
      <c r="I1501" t="s">
        <v>12</v>
      </c>
    </row>
    <row r="1502" spans="1:9">
      <c r="A1502" t="s">
        <v>13</v>
      </c>
      <c r="B1502" t="s">
        <v>30</v>
      </c>
      <c r="C1502">
        <v>2021</v>
      </c>
      <c r="D1502" t="s">
        <v>66</v>
      </c>
      <c r="E1502">
        <v>15</v>
      </c>
      <c r="F1502">
        <v>10</v>
      </c>
      <c r="G1502">
        <v>5</v>
      </c>
      <c r="H1502">
        <v>1</v>
      </c>
      <c r="I1502" t="s">
        <v>12</v>
      </c>
    </row>
    <row r="1503" spans="1:9">
      <c r="A1503" t="s">
        <v>114</v>
      </c>
      <c r="B1503" t="s">
        <v>87</v>
      </c>
      <c r="C1503">
        <v>2021</v>
      </c>
      <c r="D1503" t="s">
        <v>66</v>
      </c>
      <c r="E1503">
        <v>16</v>
      </c>
      <c r="F1503">
        <v>13</v>
      </c>
      <c r="G1503">
        <v>3</v>
      </c>
      <c r="H1503">
        <v>0</v>
      </c>
      <c r="I1503" t="s">
        <v>12</v>
      </c>
    </row>
    <row r="1504" spans="1:9">
      <c r="A1504" t="s">
        <v>100</v>
      </c>
      <c r="B1504" t="s">
        <v>14</v>
      </c>
      <c r="C1504">
        <v>2021</v>
      </c>
      <c r="D1504" t="s">
        <v>66</v>
      </c>
      <c r="E1504">
        <v>0</v>
      </c>
      <c r="F1504">
        <v>15</v>
      </c>
      <c r="G1504">
        <v>-15</v>
      </c>
      <c r="H1504">
        <v>0</v>
      </c>
      <c r="I1504" t="s">
        <v>61</v>
      </c>
    </row>
    <row r="1505" spans="1:9">
      <c r="A1505" t="s">
        <v>17</v>
      </c>
      <c r="B1505" t="s">
        <v>18</v>
      </c>
      <c r="C1505">
        <v>2021</v>
      </c>
      <c r="D1505" t="s">
        <v>66</v>
      </c>
      <c r="E1505">
        <v>2</v>
      </c>
      <c r="F1505">
        <v>11</v>
      </c>
      <c r="G1505">
        <v>-9</v>
      </c>
      <c r="H1505">
        <v>0</v>
      </c>
      <c r="I1505" t="s">
        <v>12</v>
      </c>
    </row>
    <row r="1506" spans="1:9">
      <c r="A1506" t="s">
        <v>46</v>
      </c>
      <c r="B1506" t="s">
        <v>33</v>
      </c>
      <c r="C1506">
        <v>2021</v>
      </c>
      <c r="D1506" t="s">
        <v>66</v>
      </c>
      <c r="E1506">
        <v>6</v>
      </c>
      <c r="F1506">
        <v>6</v>
      </c>
      <c r="G1506">
        <v>0</v>
      </c>
      <c r="H1506">
        <v>8</v>
      </c>
      <c r="I1506" t="s">
        <v>12</v>
      </c>
    </row>
    <row r="1507" spans="1:9">
      <c r="A1507" t="s">
        <v>20</v>
      </c>
      <c r="B1507" t="s">
        <v>10</v>
      </c>
      <c r="C1507">
        <v>2021</v>
      </c>
      <c r="D1507" t="s">
        <v>66</v>
      </c>
      <c r="E1507">
        <v>8</v>
      </c>
      <c r="F1507">
        <v>18</v>
      </c>
      <c r="G1507">
        <v>-10</v>
      </c>
      <c r="H1507">
        <v>0</v>
      </c>
      <c r="I1507" t="s">
        <v>19</v>
      </c>
    </row>
    <row r="1508" spans="1:9">
      <c r="A1508" t="s">
        <v>25</v>
      </c>
      <c r="B1508" t="s">
        <v>18</v>
      </c>
      <c r="C1508">
        <v>2021</v>
      </c>
      <c r="D1508" t="s">
        <v>66</v>
      </c>
      <c r="E1508">
        <v>3</v>
      </c>
      <c r="F1508">
        <v>1</v>
      </c>
      <c r="G1508">
        <v>2</v>
      </c>
      <c r="H1508">
        <v>25</v>
      </c>
      <c r="I1508" t="s">
        <v>12</v>
      </c>
    </row>
    <row r="1509" spans="1:9">
      <c r="A1509" t="s">
        <v>26</v>
      </c>
      <c r="B1509" t="s">
        <v>27</v>
      </c>
      <c r="C1509">
        <v>2021</v>
      </c>
      <c r="D1509" t="s">
        <v>66</v>
      </c>
      <c r="E1509">
        <v>11</v>
      </c>
      <c r="F1509">
        <v>5</v>
      </c>
      <c r="G1509">
        <v>6</v>
      </c>
      <c r="H1509">
        <v>10</v>
      </c>
      <c r="I1509" t="s">
        <v>12</v>
      </c>
    </row>
    <row r="1510" spans="1:9">
      <c r="A1510" t="s">
        <v>48</v>
      </c>
      <c r="B1510" t="s">
        <v>30</v>
      </c>
      <c r="C1510">
        <v>2021</v>
      </c>
      <c r="D1510" t="s">
        <v>66</v>
      </c>
      <c r="E1510">
        <v>9</v>
      </c>
      <c r="F1510">
        <v>9</v>
      </c>
      <c r="G1510">
        <v>0</v>
      </c>
      <c r="H1510">
        <v>2</v>
      </c>
      <c r="I1510" t="s">
        <v>12</v>
      </c>
    </row>
    <row r="1511" spans="1:9">
      <c r="A1511" t="s">
        <v>28</v>
      </c>
      <c r="B1511" t="s">
        <v>14</v>
      </c>
      <c r="C1511">
        <v>2021</v>
      </c>
      <c r="D1511" t="s">
        <v>66</v>
      </c>
      <c r="E1511">
        <v>10</v>
      </c>
      <c r="F1511">
        <v>8</v>
      </c>
      <c r="G1511">
        <v>2</v>
      </c>
      <c r="H1511">
        <v>4</v>
      </c>
      <c r="I1511" t="s">
        <v>12</v>
      </c>
    </row>
    <row r="1512" spans="1:9">
      <c r="A1512" t="s">
        <v>115</v>
      </c>
      <c r="B1512" t="s">
        <v>87</v>
      </c>
      <c r="C1512">
        <v>2021</v>
      </c>
      <c r="D1512" t="s">
        <v>66</v>
      </c>
      <c r="E1512">
        <v>17</v>
      </c>
      <c r="F1512">
        <v>14</v>
      </c>
      <c r="G1512">
        <v>3</v>
      </c>
      <c r="H1512">
        <v>0</v>
      </c>
      <c r="I1512" t="s">
        <v>24</v>
      </c>
    </row>
    <row r="1513" spans="1:9">
      <c r="A1513" t="s">
        <v>29</v>
      </c>
      <c r="B1513" t="s">
        <v>86</v>
      </c>
      <c r="C1513">
        <v>2021</v>
      </c>
      <c r="D1513" t="s">
        <v>66</v>
      </c>
      <c r="E1513">
        <v>5</v>
      </c>
      <c r="F1513">
        <v>7</v>
      </c>
      <c r="G1513">
        <v>-2</v>
      </c>
      <c r="H1513">
        <v>6</v>
      </c>
      <c r="I1513" t="s">
        <v>12</v>
      </c>
    </row>
    <row r="1514" spans="1:9">
      <c r="A1514" t="s">
        <v>31</v>
      </c>
      <c r="B1514" t="s">
        <v>27</v>
      </c>
      <c r="C1514">
        <v>2021</v>
      </c>
      <c r="D1514" t="s">
        <v>66</v>
      </c>
      <c r="E1514">
        <v>4</v>
      </c>
      <c r="F1514">
        <v>4</v>
      </c>
      <c r="G1514">
        <v>0</v>
      </c>
      <c r="H1514">
        <v>12</v>
      </c>
      <c r="I1514" t="s">
        <v>12</v>
      </c>
    </row>
    <row r="1515" spans="1:9">
      <c r="A1515" t="s">
        <v>32</v>
      </c>
      <c r="B1515" t="s">
        <v>33</v>
      </c>
      <c r="C1515">
        <v>2021</v>
      </c>
      <c r="D1515" t="s">
        <v>66</v>
      </c>
      <c r="E1515">
        <v>7</v>
      </c>
      <c r="F1515">
        <v>3</v>
      </c>
      <c r="G1515">
        <v>4</v>
      </c>
      <c r="H1515">
        <v>15</v>
      </c>
      <c r="I1515" t="s">
        <v>12</v>
      </c>
    </row>
    <row r="1516" spans="1:9">
      <c r="A1516" t="s">
        <v>34</v>
      </c>
      <c r="B1516" t="s">
        <v>36</v>
      </c>
      <c r="C1516">
        <v>2021</v>
      </c>
      <c r="D1516" t="s">
        <v>66</v>
      </c>
      <c r="E1516">
        <v>12</v>
      </c>
      <c r="F1516">
        <v>19</v>
      </c>
      <c r="G1516">
        <v>-7</v>
      </c>
      <c r="H1516">
        <v>0</v>
      </c>
      <c r="I1516" t="s">
        <v>19</v>
      </c>
    </row>
    <row r="1517" spans="1:9">
      <c r="A1517" t="s">
        <v>101</v>
      </c>
      <c r="B1517" t="s">
        <v>36</v>
      </c>
      <c r="C1517">
        <v>2021</v>
      </c>
      <c r="D1517" t="s">
        <v>66</v>
      </c>
      <c r="E1517">
        <v>14</v>
      </c>
      <c r="F1517">
        <v>20</v>
      </c>
      <c r="G1517">
        <v>-6</v>
      </c>
      <c r="H1517">
        <v>0</v>
      </c>
      <c r="I1517" t="s">
        <v>19</v>
      </c>
    </row>
    <row r="1518" spans="1:9">
      <c r="A1518" t="s">
        <v>37</v>
      </c>
      <c r="B1518" t="s">
        <v>86</v>
      </c>
      <c r="C1518">
        <v>2021</v>
      </c>
      <c r="D1518" t="s">
        <v>66</v>
      </c>
      <c r="E1518">
        <v>20</v>
      </c>
      <c r="F1518">
        <v>12</v>
      </c>
      <c r="G1518">
        <v>8</v>
      </c>
      <c r="H1518">
        <v>0</v>
      </c>
      <c r="I1518" t="s">
        <v>12</v>
      </c>
    </row>
    <row r="1519" spans="1:9">
      <c r="A1519" t="s">
        <v>116</v>
      </c>
      <c r="B1519" t="s">
        <v>16</v>
      </c>
      <c r="C1519">
        <v>2021</v>
      </c>
      <c r="D1519" t="s">
        <v>66</v>
      </c>
      <c r="E1519">
        <v>19</v>
      </c>
      <c r="F1519">
        <v>17</v>
      </c>
      <c r="G1519">
        <v>2</v>
      </c>
      <c r="H1519">
        <v>0</v>
      </c>
      <c r="I1519" t="s">
        <v>53</v>
      </c>
    </row>
    <row r="1520" spans="1:9">
      <c r="A1520" t="s">
        <v>102</v>
      </c>
      <c r="B1520" t="s">
        <v>16</v>
      </c>
      <c r="C1520">
        <v>2021</v>
      </c>
      <c r="D1520" t="s">
        <v>66</v>
      </c>
      <c r="E1520">
        <v>18</v>
      </c>
      <c r="F1520">
        <v>16</v>
      </c>
      <c r="G1520">
        <v>2</v>
      </c>
      <c r="H1520">
        <v>0</v>
      </c>
      <c r="I1520" t="s">
        <v>53</v>
      </c>
    </row>
    <row r="1521" spans="1:9">
      <c r="A1521" t="s">
        <v>9</v>
      </c>
      <c r="B1521" t="s">
        <v>10</v>
      </c>
      <c r="C1521">
        <v>2021</v>
      </c>
      <c r="D1521" t="s">
        <v>107</v>
      </c>
      <c r="E1521">
        <v>2</v>
      </c>
      <c r="F1521">
        <v>2</v>
      </c>
      <c r="G1521">
        <v>0</v>
      </c>
      <c r="H1521">
        <v>18</v>
      </c>
      <c r="I1521" t="s">
        <v>12</v>
      </c>
    </row>
    <row r="1522" spans="1:9">
      <c r="A1522" t="s">
        <v>13</v>
      </c>
      <c r="B1522" t="s">
        <v>30</v>
      </c>
      <c r="C1522">
        <v>2021</v>
      </c>
      <c r="D1522" t="s">
        <v>107</v>
      </c>
      <c r="E1522">
        <v>9</v>
      </c>
      <c r="F1522">
        <v>8</v>
      </c>
      <c r="G1522">
        <v>1</v>
      </c>
      <c r="H1522">
        <v>4</v>
      </c>
      <c r="I1522" t="s">
        <v>12</v>
      </c>
    </row>
    <row r="1523" spans="1:9">
      <c r="A1523" t="s">
        <v>114</v>
      </c>
      <c r="B1523" t="s">
        <v>87</v>
      </c>
      <c r="C1523">
        <v>2021</v>
      </c>
      <c r="D1523" t="s">
        <v>107</v>
      </c>
      <c r="E1523">
        <v>17</v>
      </c>
      <c r="F1523">
        <v>17</v>
      </c>
      <c r="G1523">
        <v>0</v>
      </c>
      <c r="H1523">
        <v>0</v>
      </c>
      <c r="I1523" t="s">
        <v>24</v>
      </c>
    </row>
    <row r="1524" spans="1:9">
      <c r="A1524" t="s">
        <v>100</v>
      </c>
      <c r="B1524" t="s">
        <v>14</v>
      </c>
      <c r="C1524">
        <v>2021</v>
      </c>
      <c r="D1524" t="s">
        <v>107</v>
      </c>
      <c r="E1524">
        <v>12</v>
      </c>
      <c r="F1524">
        <v>9</v>
      </c>
      <c r="G1524">
        <v>3</v>
      </c>
      <c r="H1524">
        <v>2</v>
      </c>
      <c r="I1524" t="s">
        <v>12</v>
      </c>
    </row>
    <row r="1525" spans="1:9">
      <c r="A1525" t="s">
        <v>17</v>
      </c>
      <c r="B1525" t="s">
        <v>18</v>
      </c>
      <c r="C1525">
        <v>2021</v>
      </c>
      <c r="D1525" t="s">
        <v>107</v>
      </c>
      <c r="E1525">
        <v>4</v>
      </c>
      <c r="F1525">
        <v>3</v>
      </c>
      <c r="G1525">
        <v>1</v>
      </c>
      <c r="H1525">
        <v>15</v>
      </c>
      <c r="I1525" t="s">
        <v>12</v>
      </c>
    </row>
    <row r="1526" spans="1:9">
      <c r="A1526" t="s">
        <v>46</v>
      </c>
      <c r="B1526" t="s">
        <v>33</v>
      </c>
      <c r="C1526">
        <v>2021</v>
      </c>
      <c r="D1526" t="s">
        <v>107</v>
      </c>
      <c r="E1526">
        <v>10</v>
      </c>
      <c r="F1526">
        <v>6</v>
      </c>
      <c r="G1526">
        <v>4</v>
      </c>
      <c r="H1526">
        <v>8</v>
      </c>
      <c r="I1526" t="s">
        <v>12</v>
      </c>
    </row>
    <row r="1527" spans="1:9">
      <c r="A1527" t="s">
        <v>20</v>
      </c>
      <c r="B1527" t="s">
        <v>10</v>
      </c>
      <c r="C1527">
        <v>2021</v>
      </c>
      <c r="D1527" t="s">
        <v>107</v>
      </c>
      <c r="E1527">
        <v>3</v>
      </c>
      <c r="F1527">
        <v>4</v>
      </c>
      <c r="G1527">
        <v>-1</v>
      </c>
      <c r="H1527">
        <v>12</v>
      </c>
      <c r="I1527" t="s">
        <v>12</v>
      </c>
    </row>
    <row r="1528" spans="1:9">
      <c r="A1528" t="s">
        <v>25</v>
      </c>
      <c r="B1528" t="s">
        <v>18</v>
      </c>
      <c r="C1528">
        <v>2021</v>
      </c>
      <c r="D1528" t="s">
        <v>107</v>
      </c>
      <c r="E1528">
        <v>1</v>
      </c>
      <c r="F1528">
        <v>1</v>
      </c>
      <c r="G1528">
        <v>0</v>
      </c>
      <c r="H1528">
        <v>26</v>
      </c>
      <c r="I1528" t="s">
        <v>12</v>
      </c>
    </row>
    <row r="1529" spans="1:9">
      <c r="A1529" t="s">
        <v>26</v>
      </c>
      <c r="B1529" t="s">
        <v>27</v>
      </c>
      <c r="C1529">
        <v>2021</v>
      </c>
      <c r="D1529" t="s">
        <v>107</v>
      </c>
      <c r="E1529">
        <v>5</v>
      </c>
      <c r="F1529">
        <v>11</v>
      </c>
      <c r="G1529">
        <v>-6</v>
      </c>
      <c r="H1529">
        <v>0</v>
      </c>
      <c r="I1529" t="s">
        <v>12</v>
      </c>
    </row>
    <row r="1530" spans="1:9">
      <c r="A1530" t="s">
        <v>48</v>
      </c>
      <c r="B1530" t="s">
        <v>30</v>
      </c>
      <c r="C1530">
        <v>2021</v>
      </c>
      <c r="D1530" t="s">
        <v>107</v>
      </c>
      <c r="E1530">
        <v>11</v>
      </c>
      <c r="F1530">
        <v>14</v>
      </c>
      <c r="G1530">
        <v>-3</v>
      </c>
      <c r="H1530">
        <v>0</v>
      </c>
      <c r="I1530" t="s">
        <v>24</v>
      </c>
    </row>
    <row r="1531" spans="1:9">
      <c r="A1531" t="s">
        <v>28</v>
      </c>
      <c r="B1531" t="s">
        <v>14</v>
      </c>
      <c r="C1531">
        <v>2021</v>
      </c>
      <c r="D1531" t="s">
        <v>107</v>
      </c>
      <c r="E1531">
        <v>19</v>
      </c>
      <c r="F1531">
        <v>10</v>
      </c>
      <c r="G1531">
        <v>9</v>
      </c>
      <c r="H1531">
        <v>1</v>
      </c>
      <c r="I1531" t="s">
        <v>12</v>
      </c>
    </row>
    <row r="1532" spans="1:9">
      <c r="A1532" t="s">
        <v>115</v>
      </c>
      <c r="B1532" t="s">
        <v>87</v>
      </c>
      <c r="C1532">
        <v>2021</v>
      </c>
      <c r="D1532" t="s">
        <v>107</v>
      </c>
      <c r="E1532">
        <v>13</v>
      </c>
      <c r="F1532">
        <v>15</v>
      </c>
      <c r="G1532">
        <v>-2</v>
      </c>
      <c r="H1532">
        <v>0</v>
      </c>
      <c r="I1532" t="s">
        <v>24</v>
      </c>
    </row>
    <row r="1533" spans="1:9">
      <c r="A1533" t="s">
        <v>29</v>
      </c>
      <c r="B1533" t="s">
        <v>86</v>
      </c>
      <c r="C1533">
        <v>2021</v>
      </c>
      <c r="D1533" t="s">
        <v>107</v>
      </c>
      <c r="E1533">
        <v>6</v>
      </c>
      <c r="F1533">
        <v>7</v>
      </c>
      <c r="G1533">
        <v>-1</v>
      </c>
      <c r="H1533">
        <v>6</v>
      </c>
      <c r="I1533" t="s">
        <v>12</v>
      </c>
    </row>
    <row r="1534" spans="1:9">
      <c r="A1534" t="s">
        <v>31</v>
      </c>
      <c r="B1534" t="s">
        <v>27</v>
      </c>
      <c r="C1534">
        <v>2021</v>
      </c>
      <c r="D1534" t="s">
        <v>107</v>
      </c>
      <c r="E1534">
        <v>7</v>
      </c>
      <c r="F1534">
        <v>16</v>
      </c>
      <c r="G1534">
        <v>-9</v>
      </c>
      <c r="H1534">
        <v>0</v>
      </c>
      <c r="I1534" t="s">
        <v>24</v>
      </c>
    </row>
    <row r="1535" spans="1:9">
      <c r="A1535" t="s">
        <v>32</v>
      </c>
      <c r="B1535" t="s">
        <v>33</v>
      </c>
      <c r="C1535">
        <v>2021</v>
      </c>
      <c r="D1535" t="s">
        <v>107</v>
      </c>
      <c r="E1535">
        <v>8</v>
      </c>
      <c r="F1535">
        <v>5</v>
      </c>
      <c r="G1535">
        <v>3</v>
      </c>
      <c r="H1535">
        <v>10</v>
      </c>
      <c r="I1535" t="s">
        <v>12</v>
      </c>
    </row>
    <row r="1536" spans="1:9">
      <c r="A1536" t="s">
        <v>34</v>
      </c>
      <c r="B1536" t="s">
        <v>36</v>
      </c>
      <c r="C1536">
        <v>2021</v>
      </c>
      <c r="D1536" t="s">
        <v>107</v>
      </c>
      <c r="E1536">
        <v>14</v>
      </c>
      <c r="F1536">
        <v>12</v>
      </c>
      <c r="G1536">
        <v>2</v>
      </c>
      <c r="H1536">
        <v>0</v>
      </c>
      <c r="I1536" t="s">
        <v>24</v>
      </c>
    </row>
    <row r="1537" spans="1:9">
      <c r="A1537" t="s">
        <v>101</v>
      </c>
      <c r="B1537" t="s">
        <v>36</v>
      </c>
      <c r="C1537">
        <v>2021</v>
      </c>
      <c r="D1537" t="s">
        <v>107</v>
      </c>
      <c r="E1537">
        <v>16</v>
      </c>
      <c r="F1537">
        <v>18</v>
      </c>
      <c r="G1537">
        <v>-2</v>
      </c>
      <c r="H1537">
        <v>0</v>
      </c>
      <c r="I1537" t="s">
        <v>24</v>
      </c>
    </row>
    <row r="1538" spans="1:9">
      <c r="A1538" t="s">
        <v>37</v>
      </c>
      <c r="B1538" t="s">
        <v>86</v>
      </c>
      <c r="C1538">
        <v>2021</v>
      </c>
      <c r="D1538" t="s">
        <v>107</v>
      </c>
      <c r="E1538">
        <v>0</v>
      </c>
      <c r="F1538">
        <v>13</v>
      </c>
      <c r="G1538">
        <v>-13</v>
      </c>
      <c r="H1538">
        <v>0</v>
      </c>
      <c r="I1538" t="s">
        <v>24</v>
      </c>
    </row>
    <row r="1539" spans="1:9">
      <c r="A1539" t="s">
        <v>116</v>
      </c>
      <c r="B1539" t="s">
        <v>16</v>
      </c>
      <c r="C1539">
        <v>2021</v>
      </c>
      <c r="D1539" t="s">
        <v>107</v>
      </c>
      <c r="E1539">
        <v>18</v>
      </c>
      <c r="F1539">
        <v>20</v>
      </c>
      <c r="G1539">
        <v>-2</v>
      </c>
      <c r="H1539">
        <v>0</v>
      </c>
      <c r="I1539" t="s">
        <v>24</v>
      </c>
    </row>
    <row r="1540" spans="1:9">
      <c r="A1540" t="s">
        <v>102</v>
      </c>
      <c r="B1540" t="s">
        <v>16</v>
      </c>
      <c r="C1540">
        <v>2021</v>
      </c>
      <c r="D1540" t="s">
        <v>107</v>
      </c>
      <c r="E1540">
        <v>15</v>
      </c>
      <c r="F1540">
        <v>19</v>
      </c>
      <c r="G1540">
        <v>-4</v>
      </c>
      <c r="H1540">
        <v>0</v>
      </c>
      <c r="I1540" t="s">
        <v>24</v>
      </c>
    </row>
    <row r="1541" spans="1:9">
      <c r="A1541" t="s">
        <v>9</v>
      </c>
      <c r="B1541" t="s">
        <v>10</v>
      </c>
      <c r="C1541">
        <v>2021</v>
      </c>
      <c r="D1541" t="s">
        <v>67</v>
      </c>
      <c r="E1541">
        <v>1</v>
      </c>
      <c r="F1541">
        <v>2</v>
      </c>
      <c r="G1541">
        <v>-1</v>
      </c>
      <c r="H1541">
        <v>18</v>
      </c>
      <c r="I1541" t="s">
        <v>12</v>
      </c>
    </row>
    <row r="1542" spans="1:9">
      <c r="A1542" t="s">
        <v>13</v>
      </c>
      <c r="B1542" t="s">
        <v>30</v>
      </c>
      <c r="C1542">
        <v>2021</v>
      </c>
      <c r="D1542" t="s">
        <v>67</v>
      </c>
      <c r="E1542">
        <v>9</v>
      </c>
      <c r="F1542">
        <v>4</v>
      </c>
      <c r="G1542">
        <v>5</v>
      </c>
      <c r="H1542">
        <v>12</v>
      </c>
      <c r="I1542" t="s">
        <v>12</v>
      </c>
    </row>
    <row r="1543" spans="1:9">
      <c r="A1543" t="s">
        <v>114</v>
      </c>
      <c r="B1543" t="s">
        <v>87</v>
      </c>
      <c r="C1543">
        <v>2021</v>
      </c>
      <c r="D1543" t="s">
        <v>67</v>
      </c>
      <c r="E1543">
        <v>13</v>
      </c>
      <c r="F1543">
        <v>10</v>
      </c>
      <c r="G1543">
        <v>3</v>
      </c>
      <c r="H1543">
        <v>1</v>
      </c>
      <c r="I1543" t="s">
        <v>24</v>
      </c>
    </row>
    <row r="1544" spans="1:9">
      <c r="A1544" t="s">
        <v>100</v>
      </c>
      <c r="B1544" t="s">
        <v>14</v>
      </c>
      <c r="C1544">
        <v>2021</v>
      </c>
      <c r="D1544" t="s">
        <v>67</v>
      </c>
      <c r="E1544">
        <v>10</v>
      </c>
      <c r="F1544">
        <v>20</v>
      </c>
      <c r="G1544">
        <v>-10</v>
      </c>
      <c r="H1544">
        <v>0</v>
      </c>
      <c r="I1544" t="s">
        <v>59</v>
      </c>
    </row>
    <row r="1545" spans="1:9">
      <c r="A1545" t="s">
        <v>17</v>
      </c>
      <c r="B1545" t="s">
        <v>18</v>
      </c>
      <c r="C1545">
        <v>2021</v>
      </c>
      <c r="D1545" t="s">
        <v>67</v>
      </c>
      <c r="E1545">
        <v>4</v>
      </c>
      <c r="F1545">
        <v>17</v>
      </c>
      <c r="G1545">
        <v>-13</v>
      </c>
      <c r="H1545">
        <v>0</v>
      </c>
      <c r="I1545" t="s">
        <v>19</v>
      </c>
    </row>
    <row r="1546" spans="1:9">
      <c r="A1546" t="s">
        <v>46</v>
      </c>
      <c r="B1546" t="s">
        <v>33</v>
      </c>
      <c r="C1546">
        <v>2021</v>
      </c>
      <c r="D1546" t="s">
        <v>67</v>
      </c>
      <c r="E1546">
        <v>11</v>
      </c>
      <c r="F1546">
        <v>11</v>
      </c>
      <c r="G1546">
        <v>0</v>
      </c>
      <c r="H1546">
        <v>0</v>
      </c>
      <c r="I1546" t="s">
        <v>24</v>
      </c>
    </row>
    <row r="1547" spans="1:9">
      <c r="A1547" t="s">
        <v>20</v>
      </c>
      <c r="B1547" t="s">
        <v>10</v>
      </c>
      <c r="C1547">
        <v>2021</v>
      </c>
      <c r="D1547" t="s">
        <v>67</v>
      </c>
      <c r="E1547">
        <v>2</v>
      </c>
      <c r="F1547">
        <v>16</v>
      </c>
      <c r="G1547">
        <v>-14</v>
      </c>
      <c r="H1547">
        <v>0</v>
      </c>
      <c r="I1547" t="s">
        <v>19</v>
      </c>
    </row>
    <row r="1548" spans="1:9">
      <c r="A1548" t="s">
        <v>25</v>
      </c>
      <c r="B1548" t="s">
        <v>18</v>
      </c>
      <c r="C1548">
        <v>2021</v>
      </c>
      <c r="D1548" t="s">
        <v>67</v>
      </c>
      <c r="E1548">
        <v>3</v>
      </c>
      <c r="F1548">
        <v>9</v>
      </c>
      <c r="G1548">
        <v>-6</v>
      </c>
      <c r="H1548">
        <v>2</v>
      </c>
      <c r="I1548" t="s">
        <v>12</v>
      </c>
    </row>
    <row r="1549" spans="1:9">
      <c r="A1549" t="s">
        <v>26</v>
      </c>
      <c r="B1549" t="s">
        <v>27</v>
      </c>
      <c r="C1549">
        <v>2021</v>
      </c>
      <c r="D1549" t="s">
        <v>67</v>
      </c>
      <c r="E1549">
        <v>15</v>
      </c>
      <c r="F1549">
        <v>3</v>
      </c>
      <c r="G1549">
        <v>12</v>
      </c>
      <c r="H1549">
        <v>15</v>
      </c>
      <c r="I1549" t="s">
        <v>12</v>
      </c>
    </row>
    <row r="1550" spans="1:9">
      <c r="A1550" t="s">
        <v>48</v>
      </c>
      <c r="B1550" t="s">
        <v>30</v>
      </c>
      <c r="C1550">
        <v>2021</v>
      </c>
      <c r="D1550" t="s">
        <v>67</v>
      </c>
      <c r="E1550">
        <v>8</v>
      </c>
      <c r="F1550">
        <v>1</v>
      </c>
      <c r="G1550">
        <v>7</v>
      </c>
      <c r="H1550">
        <v>25</v>
      </c>
      <c r="I1550" t="s">
        <v>12</v>
      </c>
    </row>
    <row r="1551" spans="1:9">
      <c r="A1551" t="s">
        <v>28</v>
      </c>
      <c r="B1551" t="s">
        <v>14</v>
      </c>
      <c r="C1551">
        <v>2021</v>
      </c>
      <c r="D1551" t="s">
        <v>67</v>
      </c>
      <c r="E1551">
        <v>12</v>
      </c>
      <c r="F1551">
        <v>19</v>
      </c>
      <c r="G1551">
        <v>-7</v>
      </c>
      <c r="H1551">
        <v>0</v>
      </c>
      <c r="I1551" t="s">
        <v>19</v>
      </c>
    </row>
    <row r="1552" spans="1:9">
      <c r="A1552" t="s">
        <v>115</v>
      </c>
      <c r="B1552" t="s">
        <v>87</v>
      </c>
      <c r="C1552">
        <v>2021</v>
      </c>
      <c r="D1552" t="s">
        <v>67</v>
      </c>
      <c r="E1552">
        <v>0</v>
      </c>
      <c r="F1552">
        <v>13</v>
      </c>
      <c r="G1552">
        <v>-13</v>
      </c>
      <c r="H1552">
        <v>0</v>
      </c>
      <c r="I1552" t="s">
        <v>24</v>
      </c>
    </row>
    <row r="1553" spans="1:9">
      <c r="A1553" t="s">
        <v>29</v>
      </c>
      <c r="B1553" t="s">
        <v>86</v>
      </c>
      <c r="C1553">
        <v>2021</v>
      </c>
      <c r="D1553" t="s">
        <v>67</v>
      </c>
      <c r="E1553">
        <v>5</v>
      </c>
      <c r="F1553">
        <v>5</v>
      </c>
      <c r="G1553">
        <v>0</v>
      </c>
      <c r="H1553">
        <v>11</v>
      </c>
      <c r="I1553" t="s">
        <v>12</v>
      </c>
    </row>
    <row r="1554" spans="1:9">
      <c r="A1554" t="s">
        <v>31</v>
      </c>
      <c r="B1554" t="s">
        <v>27</v>
      </c>
      <c r="C1554">
        <v>2021</v>
      </c>
      <c r="D1554" t="s">
        <v>67</v>
      </c>
      <c r="E1554">
        <v>7</v>
      </c>
      <c r="F1554">
        <v>18</v>
      </c>
      <c r="G1554">
        <v>-11</v>
      </c>
      <c r="H1554">
        <v>0</v>
      </c>
      <c r="I1554" t="s">
        <v>19</v>
      </c>
    </row>
    <row r="1555" spans="1:9">
      <c r="A1555" t="s">
        <v>32</v>
      </c>
      <c r="B1555" t="s">
        <v>33</v>
      </c>
      <c r="C1555">
        <v>2021</v>
      </c>
      <c r="D1555" t="s">
        <v>67</v>
      </c>
      <c r="E1555">
        <v>6</v>
      </c>
      <c r="F1555">
        <v>15</v>
      </c>
      <c r="G1555">
        <v>-9</v>
      </c>
      <c r="H1555">
        <v>0</v>
      </c>
      <c r="I1555" t="s">
        <v>19</v>
      </c>
    </row>
    <row r="1556" spans="1:9">
      <c r="A1556" t="s">
        <v>34</v>
      </c>
      <c r="B1556" t="s">
        <v>36</v>
      </c>
      <c r="C1556">
        <v>2021</v>
      </c>
      <c r="D1556" t="s">
        <v>67</v>
      </c>
      <c r="E1556">
        <v>17</v>
      </c>
      <c r="F1556">
        <v>8</v>
      </c>
      <c r="G1556">
        <v>9</v>
      </c>
      <c r="H1556">
        <v>4</v>
      </c>
      <c r="I1556" t="s">
        <v>12</v>
      </c>
    </row>
    <row r="1557" spans="1:9">
      <c r="A1557" t="s">
        <v>101</v>
      </c>
      <c r="B1557" t="s">
        <v>36</v>
      </c>
      <c r="C1557">
        <v>2021</v>
      </c>
      <c r="D1557" t="s">
        <v>67</v>
      </c>
      <c r="E1557">
        <v>18</v>
      </c>
      <c r="F1557">
        <v>7</v>
      </c>
      <c r="G1557">
        <v>11</v>
      </c>
      <c r="H1557">
        <v>6</v>
      </c>
      <c r="I1557" t="s">
        <v>12</v>
      </c>
    </row>
    <row r="1558" spans="1:9">
      <c r="A1558" t="s">
        <v>37</v>
      </c>
      <c r="B1558" t="s">
        <v>86</v>
      </c>
      <c r="C1558">
        <v>2021</v>
      </c>
      <c r="D1558" t="s">
        <v>67</v>
      </c>
      <c r="E1558">
        <v>16</v>
      </c>
      <c r="F1558">
        <v>6</v>
      </c>
      <c r="G1558">
        <v>10</v>
      </c>
      <c r="H1558">
        <v>8</v>
      </c>
      <c r="I1558" t="s">
        <v>12</v>
      </c>
    </row>
    <row r="1559" spans="1:9">
      <c r="A1559" t="s">
        <v>116</v>
      </c>
      <c r="B1559" t="s">
        <v>16</v>
      </c>
      <c r="C1559">
        <v>2021</v>
      </c>
      <c r="D1559" t="s">
        <v>67</v>
      </c>
      <c r="E1559">
        <v>19</v>
      </c>
      <c r="F1559">
        <v>14</v>
      </c>
      <c r="G1559">
        <v>5</v>
      </c>
      <c r="H1559">
        <v>0</v>
      </c>
      <c r="I1559" t="s">
        <v>19</v>
      </c>
    </row>
    <row r="1560" spans="1:9">
      <c r="A1560" t="s">
        <v>102</v>
      </c>
      <c r="B1560" t="s">
        <v>16</v>
      </c>
      <c r="C1560">
        <v>2021</v>
      </c>
      <c r="D1560" t="s">
        <v>67</v>
      </c>
      <c r="E1560">
        <v>20</v>
      </c>
      <c r="F1560">
        <v>12</v>
      </c>
      <c r="G1560">
        <v>8</v>
      </c>
      <c r="H1560">
        <v>0</v>
      </c>
      <c r="I1560" t="s">
        <v>24</v>
      </c>
    </row>
    <row r="1561" spans="1:9">
      <c r="A1561" t="s">
        <v>9</v>
      </c>
      <c r="B1561" t="s">
        <v>10</v>
      </c>
      <c r="C1561">
        <v>2021</v>
      </c>
      <c r="D1561" t="s">
        <v>69</v>
      </c>
      <c r="E1561">
        <v>4</v>
      </c>
      <c r="F1561">
        <v>17</v>
      </c>
      <c r="G1561">
        <v>-13</v>
      </c>
      <c r="H1561">
        <v>0</v>
      </c>
      <c r="I1561" t="s">
        <v>19</v>
      </c>
    </row>
    <row r="1562" spans="1:9">
      <c r="A1562" t="s">
        <v>13</v>
      </c>
      <c r="B1562" t="s">
        <v>30</v>
      </c>
      <c r="C1562">
        <v>2021</v>
      </c>
      <c r="D1562" t="s">
        <v>69</v>
      </c>
      <c r="E1562">
        <v>10</v>
      </c>
      <c r="F1562">
        <v>8</v>
      </c>
      <c r="G1562">
        <v>2</v>
      </c>
      <c r="H1562">
        <v>4</v>
      </c>
      <c r="I1562" t="s">
        <v>12</v>
      </c>
    </row>
    <row r="1563" spans="1:9">
      <c r="A1563" t="s">
        <v>117</v>
      </c>
      <c r="B1563" t="s">
        <v>87</v>
      </c>
      <c r="C1563">
        <v>2021</v>
      </c>
      <c r="D1563" t="s">
        <v>69</v>
      </c>
      <c r="E1563">
        <v>17</v>
      </c>
      <c r="F1563">
        <v>14</v>
      </c>
      <c r="G1563">
        <v>3</v>
      </c>
      <c r="H1563">
        <v>0</v>
      </c>
      <c r="I1563" t="s">
        <v>12</v>
      </c>
    </row>
    <row r="1564" spans="1:9">
      <c r="A1564" t="s">
        <v>100</v>
      </c>
      <c r="B1564" t="s">
        <v>14</v>
      </c>
      <c r="C1564">
        <v>2021</v>
      </c>
      <c r="D1564" t="s">
        <v>69</v>
      </c>
      <c r="E1564">
        <v>11</v>
      </c>
      <c r="F1564">
        <v>12</v>
      </c>
      <c r="G1564">
        <v>-1</v>
      </c>
      <c r="H1564">
        <v>0</v>
      </c>
      <c r="I1564" t="s">
        <v>12</v>
      </c>
    </row>
    <row r="1565" spans="1:9">
      <c r="A1565" t="s">
        <v>17</v>
      </c>
      <c r="B1565" t="s">
        <v>18</v>
      </c>
      <c r="C1565">
        <v>2021</v>
      </c>
      <c r="D1565" t="s">
        <v>69</v>
      </c>
      <c r="E1565">
        <v>8</v>
      </c>
      <c r="F1565">
        <v>5</v>
      </c>
      <c r="G1565">
        <v>3</v>
      </c>
      <c r="H1565">
        <v>10</v>
      </c>
      <c r="I1565" t="s">
        <v>12</v>
      </c>
    </row>
    <row r="1566" spans="1:9">
      <c r="A1566" t="s">
        <v>46</v>
      </c>
      <c r="B1566" t="s">
        <v>33</v>
      </c>
      <c r="C1566">
        <v>2021</v>
      </c>
      <c r="D1566" t="s">
        <v>69</v>
      </c>
      <c r="E1566">
        <v>2</v>
      </c>
      <c r="F1566">
        <v>1</v>
      </c>
      <c r="G1566">
        <v>1</v>
      </c>
      <c r="H1566">
        <v>26</v>
      </c>
      <c r="I1566" t="s">
        <v>12</v>
      </c>
    </row>
    <row r="1567" spans="1:9">
      <c r="A1567" t="s">
        <v>20</v>
      </c>
      <c r="B1567" t="s">
        <v>10</v>
      </c>
      <c r="C1567">
        <v>2021</v>
      </c>
      <c r="D1567" t="s">
        <v>69</v>
      </c>
      <c r="E1567">
        <v>19</v>
      </c>
      <c r="F1567">
        <v>3</v>
      </c>
      <c r="G1567">
        <v>16</v>
      </c>
      <c r="H1567">
        <v>15</v>
      </c>
      <c r="I1567" t="s">
        <v>12</v>
      </c>
    </row>
    <row r="1568" spans="1:9">
      <c r="A1568" t="s">
        <v>25</v>
      </c>
      <c r="B1568" t="s">
        <v>18</v>
      </c>
      <c r="C1568">
        <v>2021</v>
      </c>
      <c r="D1568" t="s">
        <v>69</v>
      </c>
      <c r="E1568">
        <v>1</v>
      </c>
      <c r="F1568">
        <v>18</v>
      </c>
      <c r="G1568">
        <v>-17</v>
      </c>
      <c r="H1568">
        <v>0</v>
      </c>
      <c r="I1568" t="s">
        <v>19</v>
      </c>
    </row>
    <row r="1569" spans="1:9">
      <c r="A1569" t="s">
        <v>26</v>
      </c>
      <c r="B1569" t="s">
        <v>27</v>
      </c>
      <c r="C1569">
        <v>2021</v>
      </c>
      <c r="D1569" t="s">
        <v>69</v>
      </c>
      <c r="E1569">
        <v>6</v>
      </c>
      <c r="F1569">
        <v>6</v>
      </c>
      <c r="G1569">
        <v>0</v>
      </c>
      <c r="H1569">
        <v>8</v>
      </c>
      <c r="I1569" t="s">
        <v>12</v>
      </c>
    </row>
    <row r="1570" spans="1:9">
      <c r="A1570" t="s">
        <v>48</v>
      </c>
      <c r="B1570" t="s">
        <v>30</v>
      </c>
      <c r="C1570">
        <v>2021</v>
      </c>
      <c r="D1570" t="s">
        <v>69</v>
      </c>
      <c r="E1570">
        <v>12</v>
      </c>
      <c r="F1570">
        <v>10</v>
      </c>
      <c r="G1570">
        <v>2</v>
      </c>
      <c r="H1570">
        <v>1</v>
      </c>
      <c r="I1570" t="s">
        <v>12</v>
      </c>
    </row>
    <row r="1571" spans="1:9">
      <c r="A1571" t="s">
        <v>28</v>
      </c>
      <c r="B1571" t="s">
        <v>14</v>
      </c>
      <c r="C1571">
        <v>2021</v>
      </c>
      <c r="D1571" t="s">
        <v>69</v>
      </c>
      <c r="E1571">
        <v>9</v>
      </c>
      <c r="F1571">
        <v>7</v>
      </c>
      <c r="G1571">
        <v>2</v>
      </c>
      <c r="H1571">
        <v>6</v>
      </c>
      <c r="I1571" t="s">
        <v>12</v>
      </c>
    </row>
    <row r="1572" spans="1:9">
      <c r="A1572" t="s">
        <v>115</v>
      </c>
      <c r="B1572" t="s">
        <v>87</v>
      </c>
      <c r="C1572">
        <v>2021</v>
      </c>
      <c r="D1572" t="s">
        <v>69</v>
      </c>
      <c r="E1572">
        <v>7</v>
      </c>
      <c r="F1572">
        <v>13</v>
      </c>
      <c r="G1572">
        <v>-6</v>
      </c>
      <c r="H1572">
        <v>0</v>
      </c>
      <c r="I1572" t="s">
        <v>12</v>
      </c>
    </row>
    <row r="1573" spans="1:9">
      <c r="A1573" t="s">
        <v>29</v>
      </c>
      <c r="B1573" t="s">
        <v>86</v>
      </c>
      <c r="C1573">
        <v>2021</v>
      </c>
      <c r="D1573" t="s">
        <v>69</v>
      </c>
      <c r="E1573">
        <v>0</v>
      </c>
      <c r="F1573">
        <v>19</v>
      </c>
      <c r="G1573">
        <v>-19</v>
      </c>
      <c r="H1573">
        <v>0</v>
      </c>
      <c r="I1573" t="s">
        <v>110</v>
      </c>
    </row>
    <row r="1574" spans="1:9">
      <c r="A1574" t="s">
        <v>31</v>
      </c>
      <c r="B1574" t="s">
        <v>27</v>
      </c>
      <c r="C1574">
        <v>2021</v>
      </c>
      <c r="D1574" t="s">
        <v>69</v>
      </c>
      <c r="E1574">
        <v>5</v>
      </c>
      <c r="F1574">
        <v>4</v>
      </c>
      <c r="G1574">
        <v>1</v>
      </c>
      <c r="H1574">
        <v>12</v>
      </c>
      <c r="I1574" t="s">
        <v>12</v>
      </c>
    </row>
    <row r="1575" spans="1:9">
      <c r="A1575" t="s">
        <v>32</v>
      </c>
      <c r="B1575" t="s">
        <v>33</v>
      </c>
      <c r="C1575">
        <v>2021</v>
      </c>
      <c r="D1575" t="s">
        <v>69</v>
      </c>
      <c r="E1575">
        <v>3</v>
      </c>
      <c r="F1575">
        <v>2</v>
      </c>
      <c r="G1575">
        <v>1</v>
      </c>
      <c r="H1575">
        <v>18</v>
      </c>
      <c r="I1575" t="s">
        <v>12</v>
      </c>
    </row>
    <row r="1576" spans="1:9">
      <c r="A1576" t="s">
        <v>34</v>
      </c>
      <c r="B1576" t="s">
        <v>36</v>
      </c>
      <c r="C1576">
        <v>2021</v>
      </c>
      <c r="D1576" t="s">
        <v>69</v>
      </c>
      <c r="E1576">
        <v>14</v>
      </c>
      <c r="F1576">
        <v>9</v>
      </c>
      <c r="G1576">
        <v>5</v>
      </c>
      <c r="H1576">
        <v>2</v>
      </c>
      <c r="I1576" t="s">
        <v>12</v>
      </c>
    </row>
    <row r="1577" spans="1:9">
      <c r="A1577" t="s">
        <v>101</v>
      </c>
      <c r="B1577" t="s">
        <v>36</v>
      </c>
      <c r="C1577">
        <v>2021</v>
      </c>
      <c r="D1577" t="s">
        <v>69</v>
      </c>
      <c r="E1577">
        <v>13</v>
      </c>
      <c r="F1577">
        <v>11</v>
      </c>
      <c r="G1577">
        <v>2</v>
      </c>
      <c r="H1577">
        <v>0</v>
      </c>
      <c r="I1577" t="s">
        <v>12</v>
      </c>
    </row>
    <row r="1578" spans="1:9">
      <c r="A1578" t="s">
        <v>37</v>
      </c>
      <c r="B1578" t="s">
        <v>86</v>
      </c>
      <c r="C1578">
        <v>2021</v>
      </c>
      <c r="D1578" t="s">
        <v>69</v>
      </c>
      <c r="E1578">
        <v>0</v>
      </c>
      <c r="F1578">
        <v>20</v>
      </c>
      <c r="G1578">
        <v>-20</v>
      </c>
      <c r="H1578">
        <v>0</v>
      </c>
      <c r="I1578" t="s">
        <v>47</v>
      </c>
    </row>
    <row r="1579" spans="1:9">
      <c r="A1579" t="s">
        <v>116</v>
      </c>
      <c r="B1579" t="s">
        <v>16</v>
      </c>
      <c r="C1579">
        <v>2021</v>
      </c>
      <c r="D1579" t="s">
        <v>69</v>
      </c>
      <c r="E1579">
        <v>16</v>
      </c>
      <c r="F1579">
        <v>16</v>
      </c>
      <c r="G1579">
        <v>0</v>
      </c>
      <c r="H1579">
        <v>0</v>
      </c>
      <c r="I1579" t="s">
        <v>81</v>
      </c>
    </row>
    <row r="1580" spans="1:9">
      <c r="A1580" t="s">
        <v>102</v>
      </c>
      <c r="B1580" t="s">
        <v>16</v>
      </c>
      <c r="C1580">
        <v>2021</v>
      </c>
      <c r="D1580" t="s">
        <v>69</v>
      </c>
      <c r="E1580">
        <v>18</v>
      </c>
      <c r="F1580">
        <v>15</v>
      </c>
      <c r="G1580">
        <v>3</v>
      </c>
      <c r="H1580">
        <v>0</v>
      </c>
      <c r="I1580" t="s">
        <v>12</v>
      </c>
    </row>
    <row r="1581" spans="1:9">
      <c r="A1581" t="s">
        <v>9</v>
      </c>
      <c r="B1581" t="s">
        <v>10</v>
      </c>
      <c r="C1581">
        <v>2021</v>
      </c>
      <c r="D1581" t="s">
        <v>74</v>
      </c>
      <c r="E1581">
        <v>2</v>
      </c>
      <c r="F1581">
        <v>2</v>
      </c>
      <c r="G1581">
        <v>0</v>
      </c>
      <c r="H1581">
        <v>18</v>
      </c>
      <c r="I1581" t="s">
        <v>12</v>
      </c>
    </row>
    <row r="1582" spans="1:9">
      <c r="A1582" t="s">
        <v>13</v>
      </c>
      <c r="B1582" t="s">
        <v>30</v>
      </c>
      <c r="C1582">
        <v>2021</v>
      </c>
      <c r="D1582" t="s">
        <v>74</v>
      </c>
      <c r="E1582">
        <v>12</v>
      </c>
      <c r="F1582">
        <v>9</v>
      </c>
      <c r="G1582">
        <v>3</v>
      </c>
      <c r="H1582">
        <v>2</v>
      </c>
      <c r="I1582" t="s">
        <v>24</v>
      </c>
    </row>
    <row r="1583" spans="1:9">
      <c r="A1583" t="s">
        <v>114</v>
      </c>
      <c r="B1583" t="s">
        <v>87</v>
      </c>
      <c r="C1583">
        <v>2021</v>
      </c>
      <c r="D1583" t="s">
        <v>74</v>
      </c>
      <c r="E1583">
        <v>10</v>
      </c>
      <c r="F1583">
        <v>8</v>
      </c>
      <c r="G1583">
        <v>2</v>
      </c>
      <c r="H1583">
        <v>4</v>
      </c>
      <c r="I1583" t="s">
        <v>24</v>
      </c>
    </row>
    <row r="1584" spans="1:9">
      <c r="A1584" t="s">
        <v>100</v>
      </c>
      <c r="B1584" t="s">
        <v>14</v>
      </c>
      <c r="C1584">
        <v>2021</v>
      </c>
      <c r="D1584" t="s">
        <v>74</v>
      </c>
      <c r="E1584">
        <v>9</v>
      </c>
      <c r="F1584">
        <v>7</v>
      </c>
      <c r="G1584">
        <v>2</v>
      </c>
      <c r="H1584">
        <v>6</v>
      </c>
      <c r="I1584" t="s">
        <v>24</v>
      </c>
    </row>
    <row r="1585" spans="1:9">
      <c r="A1585" t="s">
        <v>17</v>
      </c>
      <c r="B1585" t="s">
        <v>18</v>
      </c>
      <c r="C1585">
        <v>2021</v>
      </c>
      <c r="D1585" t="s">
        <v>74</v>
      </c>
      <c r="E1585">
        <v>4</v>
      </c>
      <c r="F1585">
        <v>3</v>
      </c>
      <c r="G1585">
        <v>1</v>
      </c>
      <c r="H1585">
        <v>15</v>
      </c>
      <c r="I1585" t="s">
        <v>12</v>
      </c>
    </row>
    <row r="1586" spans="1:9">
      <c r="A1586" t="s">
        <v>46</v>
      </c>
      <c r="B1586" t="s">
        <v>33</v>
      </c>
      <c r="C1586">
        <v>2021</v>
      </c>
      <c r="D1586" t="s">
        <v>74</v>
      </c>
      <c r="E1586">
        <v>7</v>
      </c>
      <c r="F1586">
        <v>12</v>
      </c>
      <c r="G1586">
        <v>-5</v>
      </c>
      <c r="H1586">
        <v>0</v>
      </c>
      <c r="I1586" t="s">
        <v>24</v>
      </c>
    </row>
    <row r="1587" spans="1:9">
      <c r="A1587" t="s">
        <v>20</v>
      </c>
      <c r="B1587" t="s">
        <v>10</v>
      </c>
      <c r="C1587">
        <v>2021</v>
      </c>
      <c r="D1587" t="s">
        <v>74</v>
      </c>
      <c r="E1587">
        <v>1</v>
      </c>
      <c r="F1587">
        <v>15</v>
      </c>
      <c r="G1587">
        <v>-14</v>
      </c>
      <c r="H1587">
        <v>0</v>
      </c>
      <c r="I1587" t="s">
        <v>53</v>
      </c>
    </row>
    <row r="1588" spans="1:9">
      <c r="A1588" t="s">
        <v>25</v>
      </c>
      <c r="B1588" t="s">
        <v>18</v>
      </c>
      <c r="C1588">
        <v>2021</v>
      </c>
      <c r="D1588" t="s">
        <v>74</v>
      </c>
      <c r="E1588">
        <v>3</v>
      </c>
      <c r="F1588">
        <v>1</v>
      </c>
      <c r="G1588">
        <v>2</v>
      </c>
      <c r="H1588">
        <v>25</v>
      </c>
      <c r="I1588" t="s">
        <v>12</v>
      </c>
    </row>
    <row r="1589" spans="1:9">
      <c r="A1589" t="s">
        <v>26</v>
      </c>
      <c r="B1589" t="s">
        <v>27</v>
      </c>
      <c r="C1589">
        <v>2021</v>
      </c>
      <c r="D1589" t="s">
        <v>74</v>
      </c>
      <c r="E1589">
        <v>6</v>
      </c>
      <c r="F1589">
        <v>6</v>
      </c>
      <c r="G1589">
        <v>0</v>
      </c>
      <c r="H1589">
        <v>8</v>
      </c>
      <c r="I1589" t="s">
        <v>24</v>
      </c>
    </row>
    <row r="1590" spans="1:9">
      <c r="A1590" t="s">
        <v>48</v>
      </c>
      <c r="B1590" t="s">
        <v>30</v>
      </c>
      <c r="C1590">
        <v>2021</v>
      </c>
      <c r="D1590" t="s">
        <v>74</v>
      </c>
      <c r="E1590">
        <v>19</v>
      </c>
      <c r="F1590">
        <v>13</v>
      </c>
      <c r="G1590">
        <v>6</v>
      </c>
      <c r="H1590">
        <v>0</v>
      </c>
      <c r="I1590" t="s">
        <v>24</v>
      </c>
    </row>
    <row r="1591" spans="1:9">
      <c r="A1591" t="s">
        <v>28</v>
      </c>
      <c r="B1591" t="s">
        <v>14</v>
      </c>
      <c r="C1591">
        <v>2021</v>
      </c>
      <c r="D1591" t="s">
        <v>74</v>
      </c>
      <c r="E1591">
        <v>20</v>
      </c>
      <c r="F1591">
        <v>14</v>
      </c>
      <c r="G1591">
        <v>6</v>
      </c>
      <c r="H1591">
        <v>0</v>
      </c>
      <c r="I1591" t="s">
        <v>53</v>
      </c>
    </row>
    <row r="1592" spans="1:9">
      <c r="A1592" t="s">
        <v>115</v>
      </c>
      <c r="B1592" t="s">
        <v>87</v>
      </c>
      <c r="C1592">
        <v>2021</v>
      </c>
      <c r="D1592" t="s">
        <v>74</v>
      </c>
      <c r="E1592">
        <v>11</v>
      </c>
      <c r="F1592">
        <v>11</v>
      </c>
      <c r="G1592">
        <v>0</v>
      </c>
      <c r="H1592">
        <v>0</v>
      </c>
      <c r="I1592" t="s">
        <v>24</v>
      </c>
    </row>
    <row r="1593" spans="1:9">
      <c r="A1593" t="s">
        <v>29</v>
      </c>
      <c r="B1593" t="s">
        <v>86</v>
      </c>
      <c r="C1593">
        <v>2021</v>
      </c>
      <c r="D1593" t="s">
        <v>74</v>
      </c>
      <c r="E1593">
        <v>5</v>
      </c>
      <c r="F1593">
        <v>4</v>
      </c>
      <c r="G1593">
        <v>1</v>
      </c>
      <c r="H1593">
        <v>12</v>
      </c>
      <c r="I1593" t="s">
        <v>12</v>
      </c>
    </row>
    <row r="1594" spans="1:9">
      <c r="A1594" t="s">
        <v>31</v>
      </c>
      <c r="B1594" t="s">
        <v>27</v>
      </c>
      <c r="C1594">
        <v>2021</v>
      </c>
      <c r="D1594" t="s">
        <v>74</v>
      </c>
      <c r="E1594">
        <v>8</v>
      </c>
      <c r="F1594">
        <v>5</v>
      </c>
      <c r="G1594">
        <v>3</v>
      </c>
      <c r="H1594">
        <v>10</v>
      </c>
      <c r="I1594" t="s">
        <v>12</v>
      </c>
    </row>
    <row r="1595" spans="1:9">
      <c r="A1595" t="s">
        <v>32</v>
      </c>
      <c r="B1595" t="s">
        <v>33</v>
      </c>
      <c r="C1595">
        <v>2021</v>
      </c>
      <c r="D1595" t="s">
        <v>74</v>
      </c>
      <c r="E1595">
        <v>18</v>
      </c>
      <c r="F1595">
        <v>10</v>
      </c>
      <c r="G1595">
        <v>8</v>
      </c>
      <c r="H1595">
        <v>1</v>
      </c>
      <c r="I1595" t="s">
        <v>24</v>
      </c>
    </row>
    <row r="1596" spans="1:9">
      <c r="A1596" t="s">
        <v>34</v>
      </c>
      <c r="B1596" t="s">
        <v>36</v>
      </c>
      <c r="C1596">
        <v>2021</v>
      </c>
      <c r="D1596" t="s">
        <v>74</v>
      </c>
      <c r="E1596">
        <v>16</v>
      </c>
      <c r="F1596">
        <v>16</v>
      </c>
      <c r="G1596">
        <v>0</v>
      </c>
      <c r="H1596">
        <v>0</v>
      </c>
      <c r="I1596" t="s">
        <v>53</v>
      </c>
    </row>
    <row r="1597" spans="1:9">
      <c r="A1597" t="s">
        <v>101</v>
      </c>
      <c r="B1597" t="s">
        <v>36</v>
      </c>
      <c r="C1597">
        <v>2021</v>
      </c>
      <c r="D1597" t="s">
        <v>74</v>
      </c>
      <c r="E1597">
        <v>13</v>
      </c>
      <c r="F1597">
        <v>17</v>
      </c>
      <c r="G1597">
        <v>-4</v>
      </c>
      <c r="H1597">
        <v>0</v>
      </c>
      <c r="I1597" t="s">
        <v>53</v>
      </c>
    </row>
    <row r="1598" spans="1:9">
      <c r="A1598" t="s">
        <v>37</v>
      </c>
      <c r="B1598" t="s">
        <v>86</v>
      </c>
      <c r="C1598">
        <v>2021</v>
      </c>
      <c r="D1598" t="s">
        <v>74</v>
      </c>
      <c r="E1598">
        <v>17</v>
      </c>
      <c r="F1598">
        <v>20</v>
      </c>
      <c r="G1598">
        <v>-3</v>
      </c>
      <c r="H1598">
        <v>0</v>
      </c>
      <c r="I1598" t="s">
        <v>19</v>
      </c>
    </row>
    <row r="1599" spans="1:9">
      <c r="A1599" t="s">
        <v>116</v>
      </c>
      <c r="B1599" t="s">
        <v>16</v>
      </c>
      <c r="C1599">
        <v>2021</v>
      </c>
      <c r="D1599" t="s">
        <v>74</v>
      </c>
      <c r="E1599">
        <v>15</v>
      </c>
      <c r="F1599">
        <v>18</v>
      </c>
      <c r="G1599">
        <v>-3</v>
      </c>
      <c r="H1599">
        <v>0</v>
      </c>
      <c r="I1599" t="s">
        <v>118</v>
      </c>
    </row>
    <row r="1600" spans="1:9">
      <c r="A1600" t="s">
        <v>102</v>
      </c>
      <c r="B1600" t="s">
        <v>16</v>
      </c>
      <c r="C1600">
        <v>2021</v>
      </c>
      <c r="D1600" t="s">
        <v>74</v>
      </c>
      <c r="E1600">
        <v>14</v>
      </c>
      <c r="F1600">
        <v>19</v>
      </c>
      <c r="G1600">
        <v>-5</v>
      </c>
      <c r="H1600">
        <v>0</v>
      </c>
      <c r="I1600" t="s">
        <v>19</v>
      </c>
    </row>
    <row r="1601" spans="1:9">
      <c r="A1601" t="s">
        <v>9</v>
      </c>
      <c r="B1601" t="s">
        <v>10</v>
      </c>
      <c r="C1601">
        <v>2021</v>
      </c>
      <c r="D1601" t="s">
        <v>76</v>
      </c>
      <c r="E1601">
        <v>7</v>
      </c>
      <c r="F1601">
        <v>7</v>
      </c>
      <c r="G1601">
        <v>0</v>
      </c>
      <c r="H1601">
        <v>7</v>
      </c>
      <c r="I1601" t="s">
        <v>12</v>
      </c>
    </row>
    <row r="1602" spans="1:9">
      <c r="A1602" t="s">
        <v>13</v>
      </c>
      <c r="B1602" t="s">
        <v>30</v>
      </c>
      <c r="C1602">
        <v>2021</v>
      </c>
      <c r="D1602" t="s">
        <v>76</v>
      </c>
      <c r="E1602">
        <v>17</v>
      </c>
      <c r="F1602">
        <v>13</v>
      </c>
      <c r="G1602">
        <v>4</v>
      </c>
      <c r="H1602">
        <v>0</v>
      </c>
      <c r="I1602" t="s">
        <v>24</v>
      </c>
    </row>
    <row r="1603" spans="1:9">
      <c r="A1603" t="s">
        <v>114</v>
      </c>
      <c r="B1603" t="s">
        <v>87</v>
      </c>
      <c r="C1603">
        <v>2021</v>
      </c>
      <c r="D1603" t="s">
        <v>76</v>
      </c>
      <c r="E1603">
        <v>14</v>
      </c>
      <c r="F1603">
        <v>11</v>
      </c>
      <c r="G1603">
        <v>3</v>
      </c>
      <c r="H1603">
        <v>0</v>
      </c>
      <c r="I1603" t="s">
        <v>24</v>
      </c>
    </row>
    <row r="1604" spans="1:9">
      <c r="A1604" t="s">
        <v>100</v>
      </c>
      <c r="B1604" t="s">
        <v>14</v>
      </c>
      <c r="C1604">
        <v>2021</v>
      </c>
      <c r="D1604" t="s">
        <v>76</v>
      </c>
      <c r="E1604">
        <v>8</v>
      </c>
      <c r="F1604">
        <v>5</v>
      </c>
      <c r="G1604">
        <v>3</v>
      </c>
      <c r="H1604">
        <v>10</v>
      </c>
      <c r="I1604" t="s">
        <v>12</v>
      </c>
    </row>
    <row r="1605" spans="1:9">
      <c r="A1605" t="s">
        <v>17</v>
      </c>
      <c r="B1605" t="s">
        <v>18</v>
      </c>
      <c r="C1605">
        <v>2021</v>
      </c>
      <c r="D1605" t="s">
        <v>76</v>
      </c>
      <c r="E1605">
        <v>9</v>
      </c>
      <c r="F1605">
        <v>4</v>
      </c>
      <c r="G1605">
        <v>5</v>
      </c>
      <c r="H1605">
        <v>12</v>
      </c>
      <c r="I1605" t="s">
        <v>12</v>
      </c>
    </row>
    <row r="1606" spans="1:9">
      <c r="A1606" t="s">
        <v>46</v>
      </c>
      <c r="B1606" t="s">
        <v>33</v>
      </c>
      <c r="C1606">
        <v>2021</v>
      </c>
      <c r="D1606" t="s">
        <v>76</v>
      </c>
      <c r="E1606">
        <v>12</v>
      </c>
      <c r="F1606">
        <v>12</v>
      </c>
      <c r="G1606">
        <v>0</v>
      </c>
      <c r="H1606">
        <v>0</v>
      </c>
      <c r="I1606" t="s">
        <v>24</v>
      </c>
    </row>
    <row r="1607" spans="1:9">
      <c r="A1607" t="s">
        <v>20</v>
      </c>
      <c r="B1607" t="s">
        <v>10</v>
      </c>
      <c r="C1607">
        <v>2021</v>
      </c>
      <c r="D1607" t="s">
        <v>76</v>
      </c>
      <c r="E1607">
        <v>3</v>
      </c>
      <c r="F1607">
        <v>19</v>
      </c>
      <c r="G1607">
        <v>-16</v>
      </c>
      <c r="H1607">
        <v>0</v>
      </c>
      <c r="I1607" t="s">
        <v>119</v>
      </c>
    </row>
    <row r="1608" spans="1:9">
      <c r="A1608" t="s">
        <v>25</v>
      </c>
      <c r="B1608" t="s">
        <v>18</v>
      </c>
      <c r="C1608">
        <v>2021</v>
      </c>
      <c r="D1608" t="s">
        <v>76</v>
      </c>
      <c r="E1608">
        <v>2</v>
      </c>
      <c r="F1608">
        <v>1</v>
      </c>
      <c r="G1608">
        <v>1</v>
      </c>
      <c r="H1608">
        <v>25</v>
      </c>
      <c r="I1608" t="s">
        <v>12</v>
      </c>
    </row>
    <row r="1609" spans="1:9">
      <c r="A1609" t="s">
        <v>26</v>
      </c>
      <c r="B1609" t="s">
        <v>27</v>
      </c>
      <c r="C1609">
        <v>2021</v>
      </c>
      <c r="D1609" t="s">
        <v>76</v>
      </c>
      <c r="E1609">
        <v>4</v>
      </c>
      <c r="F1609">
        <v>2</v>
      </c>
      <c r="G1609">
        <v>2</v>
      </c>
      <c r="H1609">
        <v>18</v>
      </c>
      <c r="I1609" t="s">
        <v>12</v>
      </c>
    </row>
    <row r="1610" spans="1:9">
      <c r="A1610" t="s">
        <v>48</v>
      </c>
      <c r="B1610" t="s">
        <v>30</v>
      </c>
      <c r="C1610">
        <v>2021</v>
      </c>
      <c r="D1610" t="s">
        <v>76</v>
      </c>
      <c r="E1610">
        <v>11</v>
      </c>
      <c r="F1610">
        <v>9</v>
      </c>
      <c r="G1610">
        <v>2</v>
      </c>
      <c r="H1610">
        <v>2</v>
      </c>
      <c r="I1610" t="s">
        <v>24</v>
      </c>
    </row>
    <row r="1611" spans="1:9">
      <c r="A1611" t="s">
        <v>28</v>
      </c>
      <c r="B1611" t="s">
        <v>14</v>
      </c>
      <c r="C1611">
        <v>2021</v>
      </c>
      <c r="D1611" t="s">
        <v>76</v>
      </c>
      <c r="E1611">
        <v>13</v>
      </c>
      <c r="F1611">
        <v>8</v>
      </c>
      <c r="G1611">
        <v>5</v>
      </c>
      <c r="H1611">
        <v>4</v>
      </c>
      <c r="I1611" t="s">
        <v>24</v>
      </c>
    </row>
    <row r="1612" spans="1:9">
      <c r="A1612" t="s">
        <v>115</v>
      </c>
      <c r="B1612" t="s">
        <v>87</v>
      </c>
      <c r="C1612">
        <v>2021</v>
      </c>
      <c r="D1612" t="s">
        <v>76</v>
      </c>
      <c r="E1612">
        <v>10</v>
      </c>
      <c r="F1612">
        <v>10</v>
      </c>
      <c r="G1612">
        <v>0</v>
      </c>
      <c r="H1612">
        <v>1</v>
      </c>
      <c r="I1612" t="s">
        <v>24</v>
      </c>
    </row>
    <row r="1613" spans="1:9">
      <c r="A1613" t="s">
        <v>29</v>
      </c>
      <c r="B1613" t="s">
        <v>86</v>
      </c>
      <c r="C1613">
        <v>2021</v>
      </c>
      <c r="D1613" t="s">
        <v>76</v>
      </c>
      <c r="E1613">
        <v>6</v>
      </c>
      <c r="F1613">
        <v>6</v>
      </c>
      <c r="G1613">
        <v>0</v>
      </c>
      <c r="H1613">
        <v>8</v>
      </c>
      <c r="I1613" t="s">
        <v>12</v>
      </c>
    </row>
    <row r="1614" spans="1:9">
      <c r="A1614" t="s">
        <v>31</v>
      </c>
      <c r="B1614" t="s">
        <v>27</v>
      </c>
      <c r="C1614">
        <v>2021</v>
      </c>
      <c r="D1614" t="s">
        <v>76</v>
      </c>
      <c r="E1614">
        <v>1</v>
      </c>
      <c r="F1614">
        <v>20</v>
      </c>
      <c r="G1614">
        <v>-19</v>
      </c>
      <c r="H1614">
        <v>0</v>
      </c>
      <c r="I1614" t="s">
        <v>120</v>
      </c>
    </row>
    <row r="1615" spans="1:9">
      <c r="A1615" t="s">
        <v>32</v>
      </c>
      <c r="B1615" t="s">
        <v>33</v>
      </c>
      <c r="C1615">
        <v>2021</v>
      </c>
      <c r="D1615" t="s">
        <v>76</v>
      </c>
      <c r="E1615">
        <v>5</v>
      </c>
      <c r="F1615">
        <v>3</v>
      </c>
      <c r="G1615">
        <v>2</v>
      </c>
      <c r="H1615">
        <v>15</v>
      </c>
      <c r="I1615" t="s">
        <v>12</v>
      </c>
    </row>
    <row r="1616" spans="1:9">
      <c r="A1616" t="s">
        <v>34</v>
      </c>
      <c r="B1616" t="s">
        <v>36</v>
      </c>
      <c r="C1616">
        <v>2021</v>
      </c>
      <c r="D1616" t="s">
        <v>76</v>
      </c>
      <c r="E1616">
        <v>15</v>
      </c>
      <c r="F1616">
        <v>14</v>
      </c>
      <c r="G1616">
        <v>1</v>
      </c>
      <c r="H1616">
        <v>0</v>
      </c>
      <c r="I1616" t="s">
        <v>24</v>
      </c>
    </row>
    <row r="1617" spans="1:9">
      <c r="A1617" t="s">
        <v>101</v>
      </c>
      <c r="B1617" t="s">
        <v>36</v>
      </c>
      <c r="C1617">
        <v>2021</v>
      </c>
      <c r="D1617" t="s">
        <v>76</v>
      </c>
      <c r="E1617">
        <v>18</v>
      </c>
      <c r="F1617">
        <v>15</v>
      </c>
      <c r="G1617">
        <v>3</v>
      </c>
      <c r="H1617">
        <v>0</v>
      </c>
      <c r="I1617" t="s">
        <v>24</v>
      </c>
    </row>
    <row r="1618" spans="1:9">
      <c r="A1618" t="s">
        <v>37</v>
      </c>
      <c r="B1618" t="s">
        <v>86</v>
      </c>
      <c r="C1618">
        <v>2021</v>
      </c>
      <c r="D1618" t="s">
        <v>76</v>
      </c>
      <c r="E1618">
        <v>16</v>
      </c>
      <c r="F1618">
        <v>16</v>
      </c>
      <c r="G1618">
        <v>0</v>
      </c>
      <c r="H1618">
        <v>0</v>
      </c>
      <c r="I1618" t="s">
        <v>24</v>
      </c>
    </row>
    <row r="1619" spans="1:9">
      <c r="A1619" t="s">
        <v>116</v>
      </c>
      <c r="B1619" t="s">
        <v>16</v>
      </c>
      <c r="C1619">
        <v>2021</v>
      </c>
      <c r="D1619" t="s">
        <v>76</v>
      </c>
      <c r="E1619">
        <v>19</v>
      </c>
      <c r="F1619">
        <v>17</v>
      </c>
      <c r="G1619">
        <v>2</v>
      </c>
      <c r="H1619">
        <v>0</v>
      </c>
      <c r="I1619" t="s">
        <v>118</v>
      </c>
    </row>
    <row r="1620" spans="1:9">
      <c r="A1620" t="s">
        <v>102</v>
      </c>
      <c r="B1620" t="s">
        <v>16</v>
      </c>
      <c r="C1620">
        <v>2021</v>
      </c>
      <c r="D1620" t="s">
        <v>76</v>
      </c>
      <c r="E1620">
        <v>20</v>
      </c>
      <c r="F1620">
        <v>18</v>
      </c>
      <c r="G1620">
        <v>2</v>
      </c>
      <c r="H1620">
        <v>0</v>
      </c>
      <c r="I1620" t="s">
        <v>118</v>
      </c>
    </row>
    <row r="1621" spans="1:9">
      <c r="A1621" t="s">
        <v>9</v>
      </c>
      <c r="B1621" t="s">
        <v>10</v>
      </c>
      <c r="C1621">
        <v>2021</v>
      </c>
      <c r="D1621" t="s">
        <v>121</v>
      </c>
      <c r="E1621">
        <v>2</v>
      </c>
      <c r="F1621">
        <v>1</v>
      </c>
      <c r="G1621">
        <v>1</v>
      </c>
      <c r="H1621">
        <v>25</v>
      </c>
      <c r="I1621" t="s">
        <v>12</v>
      </c>
    </row>
    <row r="1622" spans="1:9">
      <c r="A1622" t="s">
        <v>13</v>
      </c>
      <c r="B1622" t="s">
        <v>30</v>
      </c>
      <c r="C1622">
        <v>2021</v>
      </c>
      <c r="D1622" t="s">
        <v>121</v>
      </c>
      <c r="E1622">
        <v>13</v>
      </c>
      <c r="F1622">
        <v>8</v>
      </c>
      <c r="G1622">
        <v>5</v>
      </c>
      <c r="H1622">
        <v>4</v>
      </c>
      <c r="I1622" t="s">
        <v>12</v>
      </c>
    </row>
    <row r="1623" spans="1:9">
      <c r="A1623" t="s">
        <v>114</v>
      </c>
      <c r="B1623" t="s">
        <v>87</v>
      </c>
      <c r="C1623">
        <v>2021</v>
      </c>
      <c r="D1623" t="s">
        <v>121</v>
      </c>
      <c r="E1623">
        <v>15</v>
      </c>
      <c r="F1623">
        <v>20</v>
      </c>
      <c r="G1623">
        <v>-5</v>
      </c>
      <c r="H1623">
        <v>0</v>
      </c>
      <c r="I1623" t="s">
        <v>22</v>
      </c>
    </row>
    <row r="1624" spans="1:9">
      <c r="A1624" t="s">
        <v>100</v>
      </c>
      <c r="B1624" t="s">
        <v>14</v>
      </c>
      <c r="C1624">
        <v>2021</v>
      </c>
      <c r="D1624" t="s">
        <v>121</v>
      </c>
      <c r="E1624">
        <v>10</v>
      </c>
      <c r="F1624">
        <v>13</v>
      </c>
      <c r="G1624">
        <v>-3</v>
      </c>
      <c r="H1624">
        <v>0</v>
      </c>
      <c r="I1624" t="s">
        <v>24</v>
      </c>
    </row>
    <row r="1625" spans="1:9">
      <c r="A1625" t="s">
        <v>17</v>
      </c>
      <c r="B1625" t="s">
        <v>18</v>
      </c>
      <c r="C1625">
        <v>2021</v>
      </c>
      <c r="D1625" t="s">
        <v>121</v>
      </c>
      <c r="E1625">
        <v>4</v>
      </c>
      <c r="F1625">
        <v>4</v>
      </c>
      <c r="G1625">
        <v>0</v>
      </c>
      <c r="H1625">
        <v>12</v>
      </c>
      <c r="I1625" t="s">
        <v>12</v>
      </c>
    </row>
    <row r="1626" spans="1:9">
      <c r="A1626" t="s">
        <v>46</v>
      </c>
      <c r="B1626" t="s">
        <v>33</v>
      </c>
      <c r="C1626">
        <v>2021</v>
      </c>
      <c r="D1626" t="s">
        <v>121</v>
      </c>
      <c r="E1626">
        <v>16</v>
      </c>
      <c r="F1626">
        <v>9</v>
      </c>
      <c r="G1626">
        <v>7</v>
      </c>
      <c r="H1626">
        <v>2</v>
      </c>
      <c r="I1626" t="s">
        <v>12</v>
      </c>
    </row>
    <row r="1627" spans="1:9">
      <c r="A1627" t="s">
        <v>20</v>
      </c>
      <c r="B1627" t="s">
        <v>10</v>
      </c>
      <c r="C1627">
        <v>2021</v>
      </c>
      <c r="D1627" t="s">
        <v>121</v>
      </c>
      <c r="E1627">
        <v>1</v>
      </c>
      <c r="F1627">
        <v>3</v>
      </c>
      <c r="G1627">
        <v>-2</v>
      </c>
      <c r="H1627">
        <v>16</v>
      </c>
      <c r="I1627" t="s">
        <v>12</v>
      </c>
    </row>
    <row r="1628" spans="1:9">
      <c r="A1628" t="s">
        <v>25</v>
      </c>
      <c r="B1628" t="s">
        <v>18</v>
      </c>
      <c r="C1628">
        <v>2021</v>
      </c>
      <c r="D1628" t="s">
        <v>121</v>
      </c>
      <c r="E1628">
        <v>3</v>
      </c>
      <c r="F1628">
        <v>2</v>
      </c>
      <c r="G1628">
        <v>1</v>
      </c>
      <c r="H1628">
        <v>18</v>
      </c>
      <c r="I1628" t="s">
        <v>12</v>
      </c>
    </row>
    <row r="1629" spans="1:9">
      <c r="A1629" t="s">
        <v>26</v>
      </c>
      <c r="B1629" t="s">
        <v>27</v>
      </c>
      <c r="C1629">
        <v>2021</v>
      </c>
      <c r="D1629" t="s">
        <v>121</v>
      </c>
      <c r="E1629">
        <v>5</v>
      </c>
      <c r="F1629">
        <v>11</v>
      </c>
      <c r="G1629">
        <v>-6</v>
      </c>
      <c r="H1629">
        <v>0</v>
      </c>
      <c r="I1629" t="s">
        <v>12</v>
      </c>
    </row>
    <row r="1630" spans="1:9">
      <c r="A1630" t="s">
        <v>48</v>
      </c>
      <c r="B1630" t="s">
        <v>30</v>
      </c>
      <c r="C1630">
        <v>2021</v>
      </c>
      <c r="D1630" t="s">
        <v>121</v>
      </c>
      <c r="E1630">
        <v>6</v>
      </c>
      <c r="F1630">
        <v>7</v>
      </c>
      <c r="G1630">
        <v>-1</v>
      </c>
      <c r="H1630">
        <v>6</v>
      </c>
      <c r="I1630" t="s">
        <v>12</v>
      </c>
    </row>
    <row r="1631" spans="1:9">
      <c r="A1631" t="s">
        <v>28</v>
      </c>
      <c r="B1631" t="s">
        <v>14</v>
      </c>
      <c r="C1631">
        <v>2021</v>
      </c>
      <c r="D1631" t="s">
        <v>121</v>
      </c>
      <c r="E1631">
        <v>17</v>
      </c>
      <c r="F1631">
        <v>14</v>
      </c>
      <c r="G1631">
        <v>3</v>
      </c>
      <c r="H1631">
        <v>0</v>
      </c>
      <c r="I1631" t="s">
        <v>24</v>
      </c>
    </row>
    <row r="1632" spans="1:9">
      <c r="A1632" t="s">
        <v>115</v>
      </c>
      <c r="B1632" t="s">
        <v>87</v>
      </c>
      <c r="C1632">
        <v>2021</v>
      </c>
      <c r="D1632" t="s">
        <v>121</v>
      </c>
      <c r="E1632">
        <v>12</v>
      </c>
      <c r="F1632">
        <v>12</v>
      </c>
      <c r="G1632">
        <v>0</v>
      </c>
      <c r="H1632">
        <v>0</v>
      </c>
      <c r="I1632" t="s">
        <v>24</v>
      </c>
    </row>
    <row r="1633" spans="1:9">
      <c r="A1633" t="s">
        <v>29</v>
      </c>
      <c r="B1633" t="s">
        <v>86</v>
      </c>
      <c r="C1633">
        <v>2021</v>
      </c>
      <c r="D1633" t="s">
        <v>121</v>
      </c>
      <c r="E1633">
        <v>9</v>
      </c>
      <c r="F1633">
        <v>10</v>
      </c>
      <c r="G1633">
        <v>-1</v>
      </c>
      <c r="H1633">
        <v>1</v>
      </c>
      <c r="I1633" t="s">
        <v>12</v>
      </c>
    </row>
    <row r="1634" spans="1:9">
      <c r="A1634" t="s">
        <v>31</v>
      </c>
      <c r="B1634" t="s">
        <v>27</v>
      </c>
      <c r="C1634">
        <v>2021</v>
      </c>
      <c r="D1634" t="s">
        <v>121</v>
      </c>
      <c r="E1634">
        <v>8</v>
      </c>
      <c r="F1634">
        <v>6</v>
      </c>
      <c r="G1634">
        <v>2</v>
      </c>
      <c r="H1634">
        <v>8</v>
      </c>
      <c r="I1634" t="s">
        <v>12</v>
      </c>
    </row>
    <row r="1635" spans="1:9">
      <c r="A1635" t="s">
        <v>32</v>
      </c>
      <c r="B1635" t="s">
        <v>33</v>
      </c>
      <c r="C1635">
        <v>2021</v>
      </c>
      <c r="D1635" t="s">
        <v>121</v>
      </c>
      <c r="E1635">
        <v>7</v>
      </c>
      <c r="F1635">
        <v>5</v>
      </c>
      <c r="G1635">
        <v>2</v>
      </c>
      <c r="H1635">
        <v>10</v>
      </c>
      <c r="I1635" t="s">
        <v>12</v>
      </c>
    </row>
    <row r="1636" spans="1:9">
      <c r="A1636" t="s">
        <v>34</v>
      </c>
      <c r="B1636" t="s">
        <v>36</v>
      </c>
      <c r="C1636">
        <v>2021</v>
      </c>
      <c r="D1636" t="s">
        <v>121</v>
      </c>
      <c r="E1636">
        <v>11</v>
      </c>
      <c r="F1636">
        <v>16</v>
      </c>
      <c r="G1636">
        <v>-5</v>
      </c>
      <c r="H1636">
        <v>0</v>
      </c>
      <c r="I1636" t="s">
        <v>24</v>
      </c>
    </row>
    <row r="1637" spans="1:9">
      <c r="A1637" t="s">
        <v>101</v>
      </c>
      <c r="B1637" t="s">
        <v>36</v>
      </c>
      <c r="C1637">
        <v>2021</v>
      </c>
      <c r="D1637" t="s">
        <v>121</v>
      </c>
      <c r="E1637">
        <v>18</v>
      </c>
      <c r="F1637">
        <v>18</v>
      </c>
      <c r="G1637">
        <v>0</v>
      </c>
      <c r="H1637">
        <v>0</v>
      </c>
      <c r="I1637" t="s">
        <v>53</v>
      </c>
    </row>
    <row r="1638" spans="1:9">
      <c r="A1638" t="s">
        <v>37</v>
      </c>
      <c r="B1638" t="s">
        <v>86</v>
      </c>
      <c r="C1638">
        <v>2021</v>
      </c>
      <c r="D1638" t="s">
        <v>121</v>
      </c>
      <c r="E1638">
        <v>14</v>
      </c>
      <c r="F1638">
        <v>15</v>
      </c>
      <c r="G1638">
        <v>-1</v>
      </c>
      <c r="H1638">
        <v>0</v>
      </c>
      <c r="I1638" t="s">
        <v>24</v>
      </c>
    </row>
    <row r="1639" spans="1:9">
      <c r="A1639" t="s">
        <v>116</v>
      </c>
      <c r="B1639" t="s">
        <v>16</v>
      </c>
      <c r="C1639">
        <v>2021</v>
      </c>
      <c r="D1639" t="s">
        <v>121</v>
      </c>
      <c r="E1639">
        <v>20</v>
      </c>
      <c r="F1639">
        <v>19</v>
      </c>
      <c r="G1639">
        <v>1</v>
      </c>
      <c r="H1639">
        <v>0</v>
      </c>
      <c r="I1639" t="s">
        <v>53</v>
      </c>
    </row>
    <row r="1640" spans="1:9">
      <c r="A1640" t="s">
        <v>102</v>
      </c>
      <c r="B1640" t="s">
        <v>16</v>
      </c>
      <c r="C1640">
        <v>2021</v>
      </c>
      <c r="D1640" t="s">
        <v>121</v>
      </c>
      <c r="E1640">
        <v>19</v>
      </c>
      <c r="F1640">
        <v>17</v>
      </c>
      <c r="G1640">
        <v>2</v>
      </c>
      <c r="H1640">
        <v>0</v>
      </c>
      <c r="I1640" t="s">
        <v>53</v>
      </c>
    </row>
    <row r="1641" spans="1:9">
      <c r="A1641" t="s">
        <v>9</v>
      </c>
      <c r="B1641" t="s">
        <v>10</v>
      </c>
      <c r="C1641">
        <v>2021</v>
      </c>
      <c r="D1641" t="s">
        <v>77</v>
      </c>
      <c r="E1641">
        <v>1</v>
      </c>
      <c r="F1641">
        <v>1</v>
      </c>
      <c r="G1641">
        <v>0</v>
      </c>
      <c r="H1641">
        <v>25</v>
      </c>
      <c r="I1641" t="s">
        <v>12</v>
      </c>
    </row>
    <row r="1642" spans="1:9">
      <c r="A1642" t="s">
        <v>13</v>
      </c>
      <c r="B1642" t="s">
        <v>30</v>
      </c>
      <c r="C1642">
        <v>2021</v>
      </c>
      <c r="D1642" t="s">
        <v>77</v>
      </c>
      <c r="E1642">
        <v>3</v>
      </c>
      <c r="F1642">
        <v>3</v>
      </c>
      <c r="G1642">
        <v>0</v>
      </c>
      <c r="H1642">
        <v>15</v>
      </c>
      <c r="I1642" t="s">
        <v>12</v>
      </c>
    </row>
    <row r="1643" spans="1:9">
      <c r="A1643" t="s">
        <v>114</v>
      </c>
      <c r="B1643" t="s">
        <v>87</v>
      </c>
      <c r="C1643">
        <v>2021</v>
      </c>
      <c r="D1643" t="s">
        <v>77</v>
      </c>
      <c r="E1643">
        <v>16</v>
      </c>
      <c r="F1643">
        <v>14</v>
      </c>
      <c r="G1643">
        <v>2</v>
      </c>
      <c r="H1643">
        <v>0</v>
      </c>
      <c r="I1643" t="s">
        <v>24</v>
      </c>
    </row>
    <row r="1644" spans="1:9">
      <c r="A1644" t="s">
        <v>100</v>
      </c>
      <c r="B1644" t="s">
        <v>14</v>
      </c>
      <c r="C1644">
        <v>2021</v>
      </c>
      <c r="D1644" t="s">
        <v>77</v>
      </c>
      <c r="E1644">
        <v>10</v>
      </c>
      <c r="F1644">
        <v>10</v>
      </c>
      <c r="G1644">
        <v>0</v>
      </c>
      <c r="H1644">
        <v>1</v>
      </c>
      <c r="I1644" t="s">
        <v>24</v>
      </c>
    </row>
    <row r="1645" spans="1:9">
      <c r="A1645" t="s">
        <v>17</v>
      </c>
      <c r="B1645" t="s">
        <v>18</v>
      </c>
      <c r="C1645">
        <v>2021</v>
      </c>
      <c r="D1645" t="s">
        <v>77</v>
      </c>
      <c r="E1645">
        <v>11</v>
      </c>
      <c r="F1645">
        <v>4</v>
      </c>
      <c r="G1645">
        <v>7</v>
      </c>
      <c r="H1645">
        <v>12</v>
      </c>
      <c r="I1645" t="s">
        <v>12</v>
      </c>
    </row>
    <row r="1646" spans="1:9">
      <c r="A1646" t="s">
        <v>46</v>
      </c>
      <c r="B1646" t="s">
        <v>33</v>
      </c>
      <c r="C1646">
        <v>2021</v>
      </c>
      <c r="D1646" t="s">
        <v>77</v>
      </c>
      <c r="E1646">
        <v>14</v>
      </c>
      <c r="F1646">
        <v>12</v>
      </c>
      <c r="G1646">
        <v>2</v>
      </c>
      <c r="H1646">
        <v>0</v>
      </c>
      <c r="I1646" t="s">
        <v>24</v>
      </c>
    </row>
    <row r="1647" spans="1:9">
      <c r="A1647" t="s">
        <v>20</v>
      </c>
      <c r="B1647" t="s">
        <v>10</v>
      </c>
      <c r="C1647">
        <v>2021</v>
      </c>
      <c r="D1647" t="s">
        <v>77</v>
      </c>
      <c r="E1647">
        <v>6</v>
      </c>
      <c r="F1647">
        <v>20</v>
      </c>
      <c r="G1647">
        <v>-14</v>
      </c>
      <c r="H1647">
        <v>0</v>
      </c>
      <c r="I1647" t="s">
        <v>122</v>
      </c>
    </row>
    <row r="1648" spans="1:9">
      <c r="A1648" t="s">
        <v>25</v>
      </c>
      <c r="B1648" t="s">
        <v>18</v>
      </c>
      <c r="C1648">
        <v>2021</v>
      </c>
      <c r="D1648" t="s">
        <v>77</v>
      </c>
      <c r="E1648">
        <v>7</v>
      </c>
      <c r="F1648">
        <v>2</v>
      </c>
      <c r="G1648">
        <v>5</v>
      </c>
      <c r="H1648">
        <v>19</v>
      </c>
      <c r="I1648" t="s">
        <v>12</v>
      </c>
    </row>
    <row r="1649" spans="1:9">
      <c r="A1649" t="s">
        <v>26</v>
      </c>
      <c r="B1649" t="s">
        <v>27</v>
      </c>
      <c r="C1649">
        <v>2021</v>
      </c>
      <c r="D1649" t="s">
        <v>77</v>
      </c>
      <c r="E1649">
        <v>5</v>
      </c>
      <c r="F1649">
        <v>7</v>
      </c>
      <c r="G1649">
        <v>-2</v>
      </c>
      <c r="H1649">
        <v>6</v>
      </c>
      <c r="I1649" t="s">
        <v>12</v>
      </c>
    </row>
    <row r="1650" spans="1:9">
      <c r="A1650" t="s">
        <v>48</v>
      </c>
      <c r="B1650" t="s">
        <v>30</v>
      </c>
      <c r="C1650">
        <v>2021</v>
      </c>
      <c r="D1650" t="s">
        <v>77</v>
      </c>
      <c r="E1650">
        <v>9</v>
      </c>
      <c r="F1650">
        <v>5</v>
      </c>
      <c r="G1650">
        <v>4</v>
      </c>
      <c r="H1650">
        <v>10</v>
      </c>
      <c r="I1650" t="s">
        <v>12</v>
      </c>
    </row>
    <row r="1651" spans="1:9">
      <c r="A1651" t="s">
        <v>28</v>
      </c>
      <c r="B1651" t="s">
        <v>14</v>
      </c>
      <c r="C1651">
        <v>2021</v>
      </c>
      <c r="D1651" t="s">
        <v>77</v>
      </c>
      <c r="E1651">
        <v>12</v>
      </c>
      <c r="F1651">
        <v>6</v>
      </c>
      <c r="G1651">
        <v>6</v>
      </c>
      <c r="H1651">
        <v>8</v>
      </c>
      <c r="I1651" t="s">
        <v>12</v>
      </c>
    </row>
    <row r="1652" spans="1:9">
      <c r="A1652" t="s">
        <v>115</v>
      </c>
      <c r="B1652" t="s">
        <v>87</v>
      </c>
      <c r="C1652">
        <v>2021</v>
      </c>
      <c r="D1652" t="s">
        <v>77</v>
      </c>
      <c r="E1652">
        <v>18</v>
      </c>
      <c r="F1652">
        <v>15</v>
      </c>
      <c r="G1652">
        <v>3</v>
      </c>
      <c r="H1652">
        <v>0</v>
      </c>
      <c r="I1652" t="s">
        <v>24</v>
      </c>
    </row>
    <row r="1653" spans="1:9">
      <c r="A1653" t="s">
        <v>29</v>
      </c>
      <c r="B1653" t="s">
        <v>86</v>
      </c>
      <c r="C1653">
        <v>2021</v>
      </c>
      <c r="D1653" t="s">
        <v>77</v>
      </c>
      <c r="E1653">
        <v>2</v>
      </c>
      <c r="F1653">
        <v>11</v>
      </c>
      <c r="G1653">
        <v>-9</v>
      </c>
      <c r="H1653">
        <v>0</v>
      </c>
      <c r="I1653" t="s">
        <v>24</v>
      </c>
    </row>
    <row r="1654" spans="1:9">
      <c r="A1654" t="s">
        <v>31</v>
      </c>
      <c r="B1654" t="s">
        <v>27</v>
      </c>
      <c r="C1654">
        <v>2021</v>
      </c>
      <c r="D1654" t="s">
        <v>77</v>
      </c>
      <c r="E1654">
        <v>13</v>
      </c>
      <c r="F1654">
        <v>8</v>
      </c>
      <c r="G1654">
        <v>5</v>
      </c>
      <c r="H1654">
        <v>4</v>
      </c>
      <c r="I1654" t="s">
        <v>12</v>
      </c>
    </row>
    <row r="1655" spans="1:9">
      <c r="A1655" t="s">
        <v>32</v>
      </c>
      <c r="B1655" t="s">
        <v>33</v>
      </c>
      <c r="C1655">
        <v>2021</v>
      </c>
      <c r="D1655" t="s">
        <v>77</v>
      </c>
      <c r="E1655">
        <v>4</v>
      </c>
      <c r="F1655">
        <v>9</v>
      </c>
      <c r="G1655">
        <v>-5</v>
      </c>
      <c r="H1655">
        <v>2</v>
      </c>
      <c r="I1655" t="s">
        <v>24</v>
      </c>
    </row>
    <row r="1656" spans="1:9">
      <c r="A1656" t="s">
        <v>34</v>
      </c>
      <c r="B1656" t="s">
        <v>36</v>
      </c>
      <c r="C1656">
        <v>2021</v>
      </c>
      <c r="D1656" t="s">
        <v>77</v>
      </c>
      <c r="E1656">
        <v>15</v>
      </c>
      <c r="F1656">
        <v>17</v>
      </c>
      <c r="G1656">
        <v>-2</v>
      </c>
      <c r="H1656">
        <v>0</v>
      </c>
      <c r="I1656" t="s">
        <v>53</v>
      </c>
    </row>
    <row r="1657" spans="1:9">
      <c r="A1657" t="s">
        <v>101</v>
      </c>
      <c r="B1657" t="s">
        <v>36</v>
      </c>
      <c r="C1657">
        <v>2021</v>
      </c>
      <c r="D1657" t="s">
        <v>77</v>
      </c>
      <c r="E1657">
        <v>17</v>
      </c>
      <c r="F1657">
        <v>19</v>
      </c>
      <c r="G1657">
        <v>-2</v>
      </c>
      <c r="H1657">
        <v>0</v>
      </c>
      <c r="I1657" t="s">
        <v>123</v>
      </c>
    </row>
    <row r="1658" spans="1:9">
      <c r="A1658" t="s">
        <v>37</v>
      </c>
      <c r="B1658" t="s">
        <v>86</v>
      </c>
      <c r="C1658">
        <v>2021</v>
      </c>
      <c r="D1658" t="s">
        <v>77</v>
      </c>
      <c r="E1658">
        <v>8</v>
      </c>
      <c r="F1658">
        <v>13</v>
      </c>
      <c r="G1658">
        <v>-5</v>
      </c>
      <c r="H1658">
        <v>0</v>
      </c>
      <c r="I1658" t="s">
        <v>24</v>
      </c>
    </row>
    <row r="1659" spans="1:9">
      <c r="A1659" t="s">
        <v>116</v>
      </c>
      <c r="B1659" t="s">
        <v>16</v>
      </c>
      <c r="C1659">
        <v>2021</v>
      </c>
      <c r="D1659" t="s">
        <v>77</v>
      </c>
      <c r="E1659">
        <v>20</v>
      </c>
      <c r="F1659">
        <v>18</v>
      </c>
      <c r="G1659">
        <v>2</v>
      </c>
      <c r="H1659">
        <v>0</v>
      </c>
      <c r="I1659" t="s">
        <v>53</v>
      </c>
    </row>
    <row r="1660" spans="1:9">
      <c r="A1660" t="s">
        <v>102</v>
      </c>
      <c r="B1660" t="s">
        <v>16</v>
      </c>
      <c r="C1660">
        <v>2021</v>
      </c>
      <c r="D1660" t="s">
        <v>77</v>
      </c>
      <c r="E1660">
        <v>19</v>
      </c>
      <c r="F1660">
        <v>16</v>
      </c>
      <c r="G1660">
        <v>3</v>
      </c>
      <c r="H1660">
        <v>0</v>
      </c>
      <c r="I1660" t="s">
        <v>24</v>
      </c>
    </row>
    <row r="1661" spans="1:9">
      <c r="A1661" t="s">
        <v>9</v>
      </c>
      <c r="B1661" t="s">
        <v>10</v>
      </c>
      <c r="C1661">
        <v>2021</v>
      </c>
      <c r="D1661" t="s">
        <v>124</v>
      </c>
      <c r="E1661">
        <v>4</v>
      </c>
      <c r="F1661">
        <v>1</v>
      </c>
      <c r="G1661">
        <v>3</v>
      </c>
      <c r="H1661">
        <v>25</v>
      </c>
      <c r="I1661" t="s">
        <v>12</v>
      </c>
    </row>
    <row r="1662" spans="1:9">
      <c r="A1662" t="s">
        <v>13</v>
      </c>
      <c r="B1662" t="s">
        <v>30</v>
      </c>
      <c r="C1662">
        <v>2021</v>
      </c>
      <c r="D1662" t="s">
        <v>124</v>
      </c>
      <c r="E1662">
        <v>6</v>
      </c>
      <c r="F1662">
        <v>6</v>
      </c>
      <c r="G1662">
        <v>0</v>
      </c>
      <c r="H1662">
        <v>8</v>
      </c>
      <c r="I1662" t="s">
        <v>12</v>
      </c>
    </row>
    <row r="1663" spans="1:9">
      <c r="A1663" t="s">
        <v>114</v>
      </c>
      <c r="B1663" t="s">
        <v>87</v>
      </c>
      <c r="C1663">
        <v>2021</v>
      </c>
      <c r="D1663" t="s">
        <v>124</v>
      </c>
      <c r="E1663">
        <v>13</v>
      </c>
      <c r="F1663">
        <v>8</v>
      </c>
      <c r="G1663">
        <v>5</v>
      </c>
      <c r="H1663">
        <v>4</v>
      </c>
      <c r="I1663" t="s">
        <v>12</v>
      </c>
    </row>
    <row r="1664" spans="1:9">
      <c r="A1664" t="s">
        <v>100</v>
      </c>
      <c r="B1664" t="s">
        <v>14</v>
      </c>
      <c r="C1664">
        <v>2021</v>
      </c>
      <c r="D1664" t="s">
        <v>124</v>
      </c>
      <c r="E1664">
        <v>10</v>
      </c>
      <c r="F1664">
        <v>12</v>
      </c>
      <c r="G1664">
        <v>-2</v>
      </c>
      <c r="H1664">
        <v>0</v>
      </c>
      <c r="I1664" t="s">
        <v>24</v>
      </c>
    </row>
    <row r="1665" spans="1:9">
      <c r="A1665" t="s">
        <v>17</v>
      </c>
      <c r="B1665" t="s">
        <v>18</v>
      </c>
      <c r="C1665">
        <v>2021</v>
      </c>
      <c r="D1665" t="s">
        <v>124</v>
      </c>
      <c r="E1665">
        <v>8</v>
      </c>
      <c r="F1665">
        <v>9</v>
      </c>
      <c r="G1665">
        <v>-1</v>
      </c>
      <c r="H1665">
        <v>2</v>
      </c>
      <c r="I1665" t="s">
        <v>12</v>
      </c>
    </row>
    <row r="1666" spans="1:9">
      <c r="A1666" t="s">
        <v>46</v>
      </c>
      <c r="B1666" t="s">
        <v>33</v>
      </c>
      <c r="C1666">
        <v>2021</v>
      </c>
      <c r="D1666" t="s">
        <v>124</v>
      </c>
      <c r="E1666">
        <v>5</v>
      </c>
      <c r="F1666">
        <v>4</v>
      </c>
      <c r="G1666">
        <v>1</v>
      </c>
      <c r="H1666">
        <v>12</v>
      </c>
      <c r="I1666" t="s">
        <v>12</v>
      </c>
    </row>
    <row r="1667" spans="1:9">
      <c r="A1667" t="s">
        <v>20</v>
      </c>
      <c r="B1667" t="s">
        <v>10</v>
      </c>
      <c r="C1667">
        <v>2021</v>
      </c>
      <c r="D1667" t="s">
        <v>124</v>
      </c>
      <c r="E1667">
        <v>16</v>
      </c>
      <c r="F1667">
        <v>5</v>
      </c>
      <c r="G1667">
        <v>11</v>
      </c>
      <c r="H1667">
        <v>10</v>
      </c>
      <c r="I1667" t="s">
        <v>12</v>
      </c>
    </row>
    <row r="1668" spans="1:9">
      <c r="A1668" t="s">
        <v>25</v>
      </c>
      <c r="B1668" t="s">
        <v>18</v>
      </c>
      <c r="C1668">
        <v>2021</v>
      </c>
      <c r="D1668" t="s">
        <v>124</v>
      </c>
      <c r="E1668">
        <v>20</v>
      </c>
      <c r="F1668">
        <v>2</v>
      </c>
      <c r="G1668">
        <v>18</v>
      </c>
      <c r="H1668">
        <v>18</v>
      </c>
      <c r="I1668" t="s">
        <v>12</v>
      </c>
    </row>
    <row r="1669" spans="1:9">
      <c r="A1669" t="s">
        <v>26</v>
      </c>
      <c r="B1669" t="s">
        <v>27</v>
      </c>
      <c r="C1669">
        <v>2021</v>
      </c>
      <c r="D1669" t="s">
        <v>124</v>
      </c>
      <c r="E1669">
        <v>2</v>
      </c>
      <c r="F1669">
        <v>3</v>
      </c>
      <c r="G1669">
        <v>-1</v>
      </c>
      <c r="H1669">
        <v>15</v>
      </c>
      <c r="I1669" t="s">
        <v>12</v>
      </c>
    </row>
    <row r="1670" spans="1:9">
      <c r="A1670" t="s">
        <v>48</v>
      </c>
      <c r="B1670" t="s">
        <v>30</v>
      </c>
      <c r="C1670">
        <v>2021</v>
      </c>
      <c r="D1670" t="s">
        <v>124</v>
      </c>
      <c r="E1670">
        <v>9</v>
      </c>
      <c r="F1670">
        <v>14</v>
      </c>
      <c r="G1670">
        <v>-5</v>
      </c>
      <c r="H1670">
        <v>0</v>
      </c>
      <c r="I1670" t="s">
        <v>24</v>
      </c>
    </row>
    <row r="1671" spans="1:9">
      <c r="A1671" t="s">
        <v>28</v>
      </c>
      <c r="B1671" t="s">
        <v>14</v>
      </c>
      <c r="C1671">
        <v>2021</v>
      </c>
      <c r="D1671" t="s">
        <v>124</v>
      </c>
      <c r="E1671">
        <v>7</v>
      </c>
      <c r="F1671">
        <v>11</v>
      </c>
      <c r="G1671">
        <v>-4</v>
      </c>
      <c r="H1671">
        <v>0</v>
      </c>
      <c r="I1671" t="s">
        <v>12</v>
      </c>
    </row>
    <row r="1672" spans="1:9">
      <c r="A1672" t="s">
        <v>115</v>
      </c>
      <c r="B1672" t="s">
        <v>87</v>
      </c>
      <c r="C1672">
        <v>2021</v>
      </c>
      <c r="D1672" t="s">
        <v>124</v>
      </c>
      <c r="E1672">
        <v>17</v>
      </c>
      <c r="F1672">
        <v>16</v>
      </c>
      <c r="G1672">
        <v>1</v>
      </c>
      <c r="H1672">
        <v>0</v>
      </c>
      <c r="I1672" t="s">
        <v>24</v>
      </c>
    </row>
    <row r="1673" spans="1:9">
      <c r="A1673" t="s">
        <v>29</v>
      </c>
      <c r="B1673" t="s">
        <v>86</v>
      </c>
      <c r="C1673">
        <v>2021</v>
      </c>
      <c r="D1673" t="s">
        <v>124</v>
      </c>
      <c r="E1673">
        <v>11</v>
      </c>
      <c r="F1673">
        <v>13</v>
      </c>
      <c r="G1673">
        <v>-2</v>
      </c>
      <c r="H1673">
        <v>0</v>
      </c>
      <c r="I1673" t="s">
        <v>24</v>
      </c>
    </row>
    <row r="1674" spans="1:9">
      <c r="A1674" t="s">
        <v>31</v>
      </c>
      <c r="B1674" t="s">
        <v>27</v>
      </c>
      <c r="C1674">
        <v>2021</v>
      </c>
      <c r="D1674" t="s">
        <v>124</v>
      </c>
      <c r="E1674">
        <v>19</v>
      </c>
      <c r="F1674">
        <v>15</v>
      </c>
      <c r="G1674">
        <v>4</v>
      </c>
      <c r="H1674">
        <v>0</v>
      </c>
      <c r="I1674" t="s">
        <v>24</v>
      </c>
    </row>
    <row r="1675" spans="1:9">
      <c r="A1675" t="s">
        <v>32</v>
      </c>
      <c r="B1675" t="s">
        <v>33</v>
      </c>
      <c r="C1675">
        <v>2021</v>
      </c>
      <c r="D1675" t="s">
        <v>124</v>
      </c>
      <c r="E1675">
        <v>1</v>
      </c>
      <c r="F1675">
        <v>7</v>
      </c>
      <c r="G1675">
        <v>-6</v>
      </c>
      <c r="H1675">
        <v>7</v>
      </c>
      <c r="I1675" t="s">
        <v>12</v>
      </c>
    </row>
    <row r="1676" spans="1:9">
      <c r="A1676" t="s">
        <v>34</v>
      </c>
      <c r="B1676" t="s">
        <v>36</v>
      </c>
      <c r="C1676">
        <v>2021</v>
      </c>
      <c r="D1676" t="s">
        <v>124</v>
      </c>
      <c r="E1676">
        <v>3</v>
      </c>
      <c r="F1676">
        <v>10</v>
      </c>
      <c r="G1676">
        <v>-7</v>
      </c>
      <c r="H1676">
        <v>1</v>
      </c>
      <c r="I1676" t="s">
        <v>12</v>
      </c>
    </row>
    <row r="1677" spans="1:9">
      <c r="A1677" t="s">
        <v>101</v>
      </c>
      <c r="B1677" t="s">
        <v>36</v>
      </c>
      <c r="C1677">
        <v>2021</v>
      </c>
      <c r="D1677" t="s">
        <v>124</v>
      </c>
      <c r="E1677">
        <v>18</v>
      </c>
      <c r="F1677">
        <v>19</v>
      </c>
      <c r="G1677">
        <v>-1</v>
      </c>
      <c r="H1677">
        <v>0</v>
      </c>
      <c r="I1677" t="s">
        <v>49</v>
      </c>
    </row>
    <row r="1678" spans="1:9">
      <c r="A1678" t="s">
        <v>37</v>
      </c>
      <c r="B1678" t="s">
        <v>86</v>
      </c>
      <c r="C1678">
        <v>2021</v>
      </c>
      <c r="D1678" t="s">
        <v>124</v>
      </c>
      <c r="E1678">
        <v>12</v>
      </c>
      <c r="F1678">
        <v>17</v>
      </c>
      <c r="G1678">
        <v>-5</v>
      </c>
      <c r="H1678">
        <v>0</v>
      </c>
      <c r="I1678" t="s">
        <v>24</v>
      </c>
    </row>
    <row r="1679" spans="1:9">
      <c r="A1679" t="s">
        <v>116</v>
      </c>
      <c r="B1679" t="s">
        <v>16</v>
      </c>
      <c r="C1679">
        <v>2021</v>
      </c>
      <c r="D1679" t="s">
        <v>124</v>
      </c>
      <c r="E1679">
        <v>15</v>
      </c>
      <c r="F1679">
        <v>18</v>
      </c>
      <c r="G1679">
        <v>-3</v>
      </c>
      <c r="H1679">
        <v>0</v>
      </c>
      <c r="I1679" t="s">
        <v>53</v>
      </c>
    </row>
    <row r="1680" spans="1:9">
      <c r="A1680" t="s">
        <v>102</v>
      </c>
      <c r="B1680" t="s">
        <v>16</v>
      </c>
      <c r="C1680">
        <v>2021</v>
      </c>
      <c r="D1680" t="s">
        <v>124</v>
      </c>
      <c r="E1680">
        <v>14</v>
      </c>
      <c r="F1680">
        <v>20</v>
      </c>
      <c r="G1680">
        <v>-6</v>
      </c>
      <c r="H1680">
        <v>0</v>
      </c>
      <c r="I1680" t="s">
        <v>92</v>
      </c>
    </row>
    <row r="1681" spans="1:9">
      <c r="A1681" t="s">
        <v>9</v>
      </c>
      <c r="B1681" t="s">
        <v>10</v>
      </c>
      <c r="C1681">
        <v>2021</v>
      </c>
      <c r="D1681" t="s">
        <v>79</v>
      </c>
      <c r="E1681">
        <v>1</v>
      </c>
      <c r="F1681">
        <v>1</v>
      </c>
      <c r="G1681">
        <v>0</v>
      </c>
      <c r="H1681">
        <v>26</v>
      </c>
      <c r="I1681" t="s">
        <v>12</v>
      </c>
    </row>
    <row r="1682" spans="1:9">
      <c r="A1682" t="s">
        <v>13</v>
      </c>
      <c r="B1682" t="s">
        <v>30</v>
      </c>
      <c r="C1682">
        <v>2021</v>
      </c>
      <c r="D1682" t="s">
        <v>79</v>
      </c>
      <c r="E1682">
        <v>13</v>
      </c>
      <c r="F1682">
        <v>13</v>
      </c>
      <c r="G1682">
        <v>0</v>
      </c>
      <c r="H1682">
        <v>0</v>
      </c>
      <c r="I1682" t="s">
        <v>24</v>
      </c>
    </row>
    <row r="1683" spans="1:9">
      <c r="A1683" t="s">
        <v>114</v>
      </c>
      <c r="B1683" t="s">
        <v>87</v>
      </c>
      <c r="C1683">
        <v>2021</v>
      </c>
      <c r="D1683" t="s">
        <v>79</v>
      </c>
      <c r="E1683">
        <v>12</v>
      </c>
      <c r="F1683">
        <v>15</v>
      </c>
      <c r="G1683">
        <v>-3</v>
      </c>
      <c r="H1683">
        <v>0</v>
      </c>
      <c r="I1683" t="s">
        <v>24</v>
      </c>
    </row>
    <row r="1684" spans="1:9">
      <c r="A1684" t="s">
        <v>100</v>
      </c>
      <c r="B1684" t="s">
        <v>14</v>
      </c>
      <c r="C1684">
        <v>2021</v>
      </c>
      <c r="D1684" t="s">
        <v>79</v>
      </c>
      <c r="E1684">
        <v>17</v>
      </c>
      <c r="F1684">
        <v>16</v>
      </c>
      <c r="G1684">
        <v>1</v>
      </c>
      <c r="H1684">
        <v>0</v>
      </c>
      <c r="I1684" t="s">
        <v>22</v>
      </c>
    </row>
    <row r="1685" spans="1:9">
      <c r="A1685" t="s">
        <v>17</v>
      </c>
      <c r="B1685" t="s">
        <v>18</v>
      </c>
      <c r="C1685">
        <v>2021</v>
      </c>
      <c r="D1685" t="s">
        <v>79</v>
      </c>
      <c r="E1685">
        <v>5</v>
      </c>
      <c r="F1685">
        <v>17</v>
      </c>
      <c r="G1685">
        <v>-12</v>
      </c>
      <c r="H1685">
        <v>0</v>
      </c>
      <c r="I1685" t="s">
        <v>19</v>
      </c>
    </row>
    <row r="1686" spans="1:9">
      <c r="A1686" t="s">
        <v>46</v>
      </c>
      <c r="B1686" t="s">
        <v>33</v>
      </c>
      <c r="C1686">
        <v>2021</v>
      </c>
      <c r="D1686" t="s">
        <v>79</v>
      </c>
      <c r="E1686">
        <v>11</v>
      </c>
      <c r="F1686">
        <v>5</v>
      </c>
      <c r="G1686">
        <v>6</v>
      </c>
      <c r="H1686">
        <v>10</v>
      </c>
      <c r="I1686" t="s">
        <v>12</v>
      </c>
    </row>
    <row r="1687" spans="1:9">
      <c r="A1687" t="s">
        <v>20</v>
      </c>
      <c r="B1687" t="s">
        <v>10</v>
      </c>
      <c r="C1687">
        <v>2021</v>
      </c>
      <c r="D1687" t="s">
        <v>79</v>
      </c>
      <c r="E1687">
        <v>2</v>
      </c>
      <c r="F1687">
        <v>3</v>
      </c>
      <c r="G1687">
        <v>-1</v>
      </c>
      <c r="H1687">
        <v>15</v>
      </c>
      <c r="I1687" t="s">
        <v>12</v>
      </c>
    </row>
    <row r="1688" spans="1:9">
      <c r="A1688" t="s">
        <v>25</v>
      </c>
      <c r="B1688" t="s">
        <v>18</v>
      </c>
      <c r="C1688">
        <v>2021</v>
      </c>
      <c r="D1688" t="s">
        <v>79</v>
      </c>
      <c r="E1688">
        <v>3</v>
      </c>
      <c r="F1688">
        <v>2</v>
      </c>
      <c r="G1688">
        <v>1</v>
      </c>
      <c r="H1688">
        <v>18</v>
      </c>
      <c r="I1688" t="s">
        <v>12</v>
      </c>
    </row>
    <row r="1689" spans="1:9">
      <c r="A1689" t="s">
        <v>26</v>
      </c>
      <c r="B1689" t="s">
        <v>27</v>
      </c>
      <c r="C1689">
        <v>2021</v>
      </c>
      <c r="D1689" t="s">
        <v>79</v>
      </c>
      <c r="E1689">
        <v>15</v>
      </c>
      <c r="F1689">
        <v>8</v>
      </c>
      <c r="G1689">
        <v>7</v>
      </c>
      <c r="H1689">
        <v>4</v>
      </c>
      <c r="I1689" t="s">
        <v>12</v>
      </c>
    </row>
    <row r="1690" spans="1:9">
      <c r="A1690" t="s">
        <v>48</v>
      </c>
      <c r="B1690" t="s">
        <v>30</v>
      </c>
      <c r="C1690">
        <v>2021</v>
      </c>
      <c r="D1690" t="s">
        <v>79</v>
      </c>
      <c r="E1690">
        <v>9</v>
      </c>
      <c r="F1690">
        <v>4</v>
      </c>
      <c r="G1690">
        <v>5</v>
      </c>
      <c r="H1690">
        <v>12</v>
      </c>
      <c r="I1690" t="s">
        <v>12</v>
      </c>
    </row>
    <row r="1691" spans="1:9">
      <c r="A1691" t="s">
        <v>28</v>
      </c>
      <c r="B1691" t="s">
        <v>14</v>
      </c>
      <c r="C1691">
        <v>2021</v>
      </c>
      <c r="D1691" t="s">
        <v>79</v>
      </c>
      <c r="E1691">
        <v>18</v>
      </c>
      <c r="F1691">
        <v>11</v>
      </c>
      <c r="G1691">
        <v>7</v>
      </c>
      <c r="H1691">
        <v>0</v>
      </c>
      <c r="I1691" t="s">
        <v>12</v>
      </c>
    </row>
    <row r="1692" spans="1:9">
      <c r="A1692" t="s">
        <v>115</v>
      </c>
      <c r="B1692" t="s">
        <v>87</v>
      </c>
      <c r="C1692">
        <v>2021</v>
      </c>
      <c r="D1692" t="s">
        <v>79</v>
      </c>
      <c r="E1692">
        <v>10</v>
      </c>
      <c r="F1692">
        <v>9</v>
      </c>
      <c r="G1692">
        <v>1</v>
      </c>
      <c r="H1692">
        <v>2</v>
      </c>
      <c r="I1692" t="s">
        <v>12</v>
      </c>
    </row>
    <row r="1693" spans="1:9">
      <c r="A1693" t="s">
        <v>29</v>
      </c>
      <c r="B1693" t="s">
        <v>86</v>
      </c>
      <c r="C1693">
        <v>2021</v>
      </c>
      <c r="D1693" t="s">
        <v>79</v>
      </c>
      <c r="E1693">
        <v>6</v>
      </c>
      <c r="F1693">
        <v>6</v>
      </c>
      <c r="G1693">
        <v>0</v>
      </c>
      <c r="H1693">
        <v>8</v>
      </c>
      <c r="I1693" t="s">
        <v>12</v>
      </c>
    </row>
    <row r="1694" spans="1:9">
      <c r="A1694" t="s">
        <v>31</v>
      </c>
      <c r="B1694" t="s">
        <v>27</v>
      </c>
      <c r="C1694">
        <v>2021</v>
      </c>
      <c r="D1694" t="s">
        <v>79</v>
      </c>
      <c r="E1694">
        <v>4</v>
      </c>
      <c r="F1694">
        <v>7</v>
      </c>
      <c r="G1694">
        <v>-3</v>
      </c>
      <c r="H1694">
        <v>6</v>
      </c>
      <c r="I1694" t="s">
        <v>12</v>
      </c>
    </row>
    <row r="1695" spans="1:9">
      <c r="A1695" t="s">
        <v>32</v>
      </c>
      <c r="B1695" t="s">
        <v>33</v>
      </c>
      <c r="C1695">
        <v>2021</v>
      </c>
      <c r="D1695" t="s">
        <v>79</v>
      </c>
      <c r="E1695">
        <v>7</v>
      </c>
      <c r="F1695">
        <v>10</v>
      </c>
      <c r="G1695">
        <v>-3</v>
      </c>
      <c r="H1695">
        <v>1</v>
      </c>
      <c r="I1695" t="s">
        <v>12</v>
      </c>
    </row>
    <row r="1696" spans="1:9">
      <c r="A1696" t="s">
        <v>34</v>
      </c>
      <c r="B1696" t="s">
        <v>36</v>
      </c>
      <c r="C1696">
        <v>2021</v>
      </c>
      <c r="D1696" t="s">
        <v>79</v>
      </c>
      <c r="E1696">
        <v>14</v>
      </c>
      <c r="F1696">
        <v>19</v>
      </c>
      <c r="G1696">
        <v>-5</v>
      </c>
      <c r="H1696">
        <v>0</v>
      </c>
      <c r="I1696" t="s">
        <v>19</v>
      </c>
    </row>
    <row r="1697" spans="1:9">
      <c r="A1697" t="s">
        <v>101</v>
      </c>
      <c r="B1697" t="s">
        <v>36</v>
      </c>
      <c r="C1697">
        <v>2021</v>
      </c>
      <c r="D1697" t="s">
        <v>79</v>
      </c>
      <c r="E1697">
        <v>16</v>
      </c>
      <c r="F1697">
        <v>12</v>
      </c>
      <c r="G1697">
        <v>4</v>
      </c>
      <c r="H1697">
        <v>0</v>
      </c>
      <c r="I1697" t="s">
        <v>12</v>
      </c>
    </row>
    <row r="1698" spans="1:9">
      <c r="A1698" t="s">
        <v>37</v>
      </c>
      <c r="B1698" t="s">
        <v>86</v>
      </c>
      <c r="C1698">
        <v>2021</v>
      </c>
      <c r="D1698" t="s">
        <v>79</v>
      </c>
      <c r="E1698">
        <v>8</v>
      </c>
      <c r="F1698">
        <v>14</v>
      </c>
      <c r="G1698">
        <v>-6</v>
      </c>
      <c r="H1698">
        <v>0</v>
      </c>
      <c r="I1698" t="s">
        <v>24</v>
      </c>
    </row>
    <row r="1699" spans="1:9">
      <c r="A1699" t="s">
        <v>116</v>
      </c>
      <c r="B1699" t="s">
        <v>16</v>
      </c>
      <c r="C1699">
        <v>2021</v>
      </c>
      <c r="D1699" t="s">
        <v>79</v>
      </c>
      <c r="E1699">
        <v>20</v>
      </c>
      <c r="F1699">
        <v>18</v>
      </c>
      <c r="G1699">
        <v>2</v>
      </c>
      <c r="H1699">
        <v>0</v>
      </c>
      <c r="I1699" t="s">
        <v>19</v>
      </c>
    </row>
    <row r="1700" spans="1:9">
      <c r="A1700" t="s">
        <v>102</v>
      </c>
      <c r="B1700" t="s">
        <v>16</v>
      </c>
      <c r="C1700">
        <v>2021</v>
      </c>
      <c r="D1700" t="s">
        <v>79</v>
      </c>
      <c r="E1700">
        <v>19</v>
      </c>
      <c r="F1700">
        <v>20</v>
      </c>
      <c r="G1700">
        <v>-1</v>
      </c>
      <c r="H1700">
        <v>0</v>
      </c>
      <c r="I1700" t="s">
        <v>49</v>
      </c>
    </row>
    <row r="1701" spans="1:9">
      <c r="A1701" t="s">
        <v>9</v>
      </c>
      <c r="B1701" t="s">
        <v>10</v>
      </c>
      <c r="C1701">
        <v>2021</v>
      </c>
      <c r="D1701" t="s">
        <v>82</v>
      </c>
      <c r="E1701">
        <v>1</v>
      </c>
      <c r="F1701">
        <v>1</v>
      </c>
      <c r="G1701">
        <v>0</v>
      </c>
      <c r="H1701">
        <v>25</v>
      </c>
      <c r="I1701" t="s">
        <v>12</v>
      </c>
    </row>
    <row r="1702" spans="1:9">
      <c r="A1702" t="s">
        <v>13</v>
      </c>
      <c r="B1702" t="s">
        <v>30</v>
      </c>
      <c r="C1702">
        <v>2021</v>
      </c>
      <c r="D1702" t="s">
        <v>82</v>
      </c>
      <c r="E1702">
        <v>10</v>
      </c>
      <c r="F1702">
        <v>17</v>
      </c>
      <c r="G1702">
        <v>-7</v>
      </c>
      <c r="H1702">
        <v>0</v>
      </c>
      <c r="I1702" t="s">
        <v>24</v>
      </c>
    </row>
    <row r="1703" spans="1:9">
      <c r="A1703" t="s">
        <v>114</v>
      </c>
      <c r="B1703" t="s">
        <v>87</v>
      </c>
      <c r="C1703">
        <v>2021</v>
      </c>
      <c r="D1703" t="s">
        <v>82</v>
      </c>
      <c r="E1703">
        <v>17</v>
      </c>
      <c r="F1703">
        <v>12</v>
      </c>
      <c r="G1703">
        <v>5</v>
      </c>
      <c r="H1703">
        <v>0</v>
      </c>
      <c r="I1703" t="s">
        <v>24</v>
      </c>
    </row>
    <row r="1704" spans="1:9">
      <c r="A1704" t="s">
        <v>100</v>
      </c>
      <c r="B1704" t="s">
        <v>14</v>
      </c>
      <c r="C1704">
        <v>2021</v>
      </c>
      <c r="D1704" t="s">
        <v>82</v>
      </c>
      <c r="E1704">
        <v>13</v>
      </c>
      <c r="F1704">
        <v>13</v>
      </c>
      <c r="G1704">
        <v>0</v>
      </c>
      <c r="H1704">
        <v>0</v>
      </c>
      <c r="I1704" t="s">
        <v>24</v>
      </c>
    </row>
    <row r="1705" spans="1:9">
      <c r="A1705" t="s">
        <v>17</v>
      </c>
      <c r="B1705" t="s">
        <v>18</v>
      </c>
      <c r="C1705">
        <v>2021</v>
      </c>
      <c r="D1705" t="s">
        <v>82</v>
      </c>
      <c r="E1705">
        <v>8</v>
      </c>
      <c r="F1705">
        <v>5</v>
      </c>
      <c r="G1705">
        <v>3</v>
      </c>
      <c r="H1705">
        <v>10</v>
      </c>
      <c r="I1705" t="s">
        <v>12</v>
      </c>
    </row>
    <row r="1706" spans="1:9">
      <c r="A1706" t="s">
        <v>46</v>
      </c>
      <c r="B1706" t="s">
        <v>33</v>
      </c>
      <c r="C1706">
        <v>2021</v>
      </c>
      <c r="D1706" t="s">
        <v>82</v>
      </c>
      <c r="E1706">
        <v>7</v>
      </c>
      <c r="F1706">
        <v>6</v>
      </c>
      <c r="G1706">
        <v>1</v>
      </c>
      <c r="H1706">
        <v>8</v>
      </c>
      <c r="I1706" t="s">
        <v>12</v>
      </c>
    </row>
    <row r="1707" spans="1:9">
      <c r="A1707" t="s">
        <v>20</v>
      </c>
      <c r="B1707" t="s">
        <v>10</v>
      </c>
      <c r="C1707">
        <v>2021</v>
      </c>
      <c r="D1707" t="s">
        <v>82</v>
      </c>
      <c r="E1707">
        <v>3</v>
      </c>
      <c r="F1707">
        <v>3</v>
      </c>
      <c r="G1707">
        <v>0</v>
      </c>
      <c r="H1707">
        <v>15</v>
      </c>
      <c r="I1707" t="s">
        <v>12</v>
      </c>
    </row>
    <row r="1708" spans="1:9">
      <c r="A1708" t="s">
        <v>25</v>
      </c>
      <c r="B1708" t="s">
        <v>18</v>
      </c>
      <c r="C1708">
        <v>2021</v>
      </c>
      <c r="D1708" t="s">
        <v>82</v>
      </c>
      <c r="E1708">
        <v>2</v>
      </c>
      <c r="F1708">
        <v>2</v>
      </c>
      <c r="G1708">
        <v>0</v>
      </c>
      <c r="H1708">
        <v>19</v>
      </c>
      <c r="I1708" t="s">
        <v>12</v>
      </c>
    </row>
    <row r="1709" spans="1:9">
      <c r="A1709" t="s">
        <v>26</v>
      </c>
      <c r="B1709" t="s">
        <v>27</v>
      </c>
      <c r="C1709">
        <v>2021</v>
      </c>
      <c r="D1709" t="s">
        <v>82</v>
      </c>
      <c r="E1709">
        <v>6</v>
      </c>
      <c r="F1709">
        <v>7</v>
      </c>
      <c r="G1709">
        <v>-1</v>
      </c>
      <c r="H1709">
        <v>6</v>
      </c>
      <c r="I1709" t="s">
        <v>12</v>
      </c>
    </row>
    <row r="1710" spans="1:9">
      <c r="A1710" t="s">
        <v>48</v>
      </c>
      <c r="B1710" t="s">
        <v>30</v>
      </c>
      <c r="C1710">
        <v>2021</v>
      </c>
      <c r="D1710" t="s">
        <v>82</v>
      </c>
      <c r="E1710">
        <v>5</v>
      </c>
      <c r="F1710">
        <v>9</v>
      </c>
      <c r="G1710">
        <v>-4</v>
      </c>
      <c r="H1710">
        <v>2</v>
      </c>
      <c r="I1710" t="s">
        <v>24</v>
      </c>
    </row>
    <row r="1711" spans="1:9">
      <c r="A1711" t="s">
        <v>28</v>
      </c>
      <c r="B1711" t="s">
        <v>14</v>
      </c>
      <c r="C1711">
        <v>2021</v>
      </c>
      <c r="D1711" t="s">
        <v>82</v>
      </c>
      <c r="E1711">
        <v>11</v>
      </c>
      <c r="F1711">
        <v>11</v>
      </c>
      <c r="G1711">
        <v>0</v>
      </c>
      <c r="H1711">
        <v>0</v>
      </c>
      <c r="I1711" t="s">
        <v>24</v>
      </c>
    </row>
    <row r="1712" spans="1:9">
      <c r="A1712" t="s">
        <v>115</v>
      </c>
      <c r="B1712" t="s">
        <v>87</v>
      </c>
      <c r="C1712">
        <v>2021</v>
      </c>
      <c r="D1712" t="s">
        <v>82</v>
      </c>
      <c r="E1712">
        <v>14</v>
      </c>
      <c r="F1712">
        <v>15</v>
      </c>
      <c r="G1712">
        <v>-1</v>
      </c>
      <c r="H1712">
        <v>0</v>
      </c>
      <c r="I1712" t="s">
        <v>24</v>
      </c>
    </row>
    <row r="1713" spans="1:9">
      <c r="A1713" t="s">
        <v>29</v>
      </c>
      <c r="B1713" t="s">
        <v>86</v>
      </c>
      <c r="C1713">
        <v>2021</v>
      </c>
      <c r="D1713" t="s">
        <v>82</v>
      </c>
      <c r="E1713">
        <v>12</v>
      </c>
      <c r="F1713">
        <v>10</v>
      </c>
      <c r="G1713">
        <v>2</v>
      </c>
      <c r="H1713">
        <v>1</v>
      </c>
      <c r="I1713" t="s">
        <v>24</v>
      </c>
    </row>
    <row r="1714" spans="1:9">
      <c r="A1714" t="s">
        <v>31</v>
      </c>
      <c r="B1714" t="s">
        <v>27</v>
      </c>
      <c r="C1714">
        <v>2021</v>
      </c>
      <c r="D1714" t="s">
        <v>82</v>
      </c>
      <c r="E1714">
        <v>4</v>
      </c>
      <c r="F1714">
        <v>4</v>
      </c>
      <c r="G1714">
        <v>0</v>
      </c>
      <c r="H1714">
        <v>12</v>
      </c>
      <c r="I1714" t="s">
        <v>12</v>
      </c>
    </row>
    <row r="1715" spans="1:9">
      <c r="A1715" t="s">
        <v>32</v>
      </c>
      <c r="B1715" t="s">
        <v>33</v>
      </c>
      <c r="C1715">
        <v>2021</v>
      </c>
      <c r="D1715" t="s">
        <v>82</v>
      </c>
      <c r="E1715">
        <v>9</v>
      </c>
      <c r="F1715">
        <v>8</v>
      </c>
      <c r="G1715">
        <v>1</v>
      </c>
      <c r="H1715">
        <v>4</v>
      </c>
      <c r="I1715" t="s">
        <v>24</v>
      </c>
    </row>
    <row r="1716" spans="1:9">
      <c r="A1716" t="s">
        <v>34</v>
      </c>
      <c r="B1716" t="s">
        <v>36</v>
      </c>
      <c r="C1716">
        <v>2021</v>
      </c>
      <c r="D1716" t="s">
        <v>82</v>
      </c>
      <c r="E1716">
        <v>15</v>
      </c>
      <c r="F1716">
        <v>14</v>
      </c>
      <c r="G1716">
        <v>1</v>
      </c>
      <c r="H1716">
        <v>0</v>
      </c>
      <c r="I1716" t="s">
        <v>24</v>
      </c>
    </row>
    <row r="1717" spans="1:9">
      <c r="A1717" t="s">
        <v>101</v>
      </c>
      <c r="B1717" t="s">
        <v>36</v>
      </c>
      <c r="C1717">
        <v>2021</v>
      </c>
      <c r="D1717" t="s">
        <v>82</v>
      </c>
      <c r="E1717">
        <v>19</v>
      </c>
      <c r="F1717">
        <v>16</v>
      </c>
      <c r="G1717">
        <v>3</v>
      </c>
      <c r="H1717">
        <v>0</v>
      </c>
      <c r="I1717" t="s">
        <v>24</v>
      </c>
    </row>
    <row r="1718" spans="1:9">
      <c r="A1718" t="s">
        <v>37</v>
      </c>
      <c r="B1718" t="s">
        <v>86</v>
      </c>
      <c r="C1718">
        <v>2021</v>
      </c>
      <c r="D1718" t="s">
        <v>82</v>
      </c>
      <c r="E1718">
        <v>16</v>
      </c>
      <c r="F1718">
        <v>20</v>
      </c>
      <c r="G1718">
        <v>-4</v>
      </c>
      <c r="H1718">
        <v>0</v>
      </c>
      <c r="I1718" t="s">
        <v>91</v>
      </c>
    </row>
    <row r="1719" spans="1:9">
      <c r="A1719" t="s">
        <v>116</v>
      </c>
      <c r="B1719" t="s">
        <v>16</v>
      </c>
      <c r="C1719">
        <v>2021</v>
      </c>
      <c r="D1719" t="s">
        <v>82</v>
      </c>
      <c r="E1719">
        <v>20</v>
      </c>
      <c r="F1719">
        <v>19</v>
      </c>
      <c r="G1719">
        <v>1</v>
      </c>
      <c r="H1719">
        <v>0</v>
      </c>
      <c r="I1719" t="s">
        <v>53</v>
      </c>
    </row>
    <row r="1720" spans="1:9">
      <c r="A1720" t="s">
        <v>102</v>
      </c>
      <c r="B1720" t="s">
        <v>16</v>
      </c>
      <c r="C1720">
        <v>2021</v>
      </c>
      <c r="D1720" t="s">
        <v>82</v>
      </c>
      <c r="E1720">
        <v>18</v>
      </c>
      <c r="F1720">
        <v>18</v>
      </c>
      <c r="G1720">
        <v>0</v>
      </c>
      <c r="H1720">
        <v>0</v>
      </c>
      <c r="I1720" t="s">
        <v>53</v>
      </c>
    </row>
    <row r="1721" spans="1:9">
      <c r="A1721" t="s">
        <v>9</v>
      </c>
      <c r="B1721" t="s">
        <v>10</v>
      </c>
      <c r="C1721">
        <v>2021</v>
      </c>
      <c r="D1721" t="s">
        <v>125</v>
      </c>
      <c r="E1721">
        <v>2</v>
      </c>
      <c r="F1721">
        <v>2</v>
      </c>
      <c r="G1721">
        <v>0</v>
      </c>
      <c r="H1721">
        <v>19</v>
      </c>
      <c r="I1721" t="s">
        <v>12</v>
      </c>
    </row>
    <row r="1722" spans="1:9">
      <c r="A1722" t="s">
        <v>13</v>
      </c>
      <c r="B1722" t="s">
        <v>30</v>
      </c>
      <c r="C1722">
        <v>2021</v>
      </c>
      <c r="D1722" t="s">
        <v>125</v>
      </c>
      <c r="E1722">
        <v>8</v>
      </c>
      <c r="F1722">
        <v>9</v>
      </c>
      <c r="G1722">
        <v>-1</v>
      </c>
      <c r="H1722">
        <v>2</v>
      </c>
      <c r="I1722" t="s">
        <v>24</v>
      </c>
    </row>
    <row r="1723" spans="1:9">
      <c r="A1723" t="s">
        <v>114</v>
      </c>
      <c r="B1723" t="s">
        <v>87</v>
      </c>
      <c r="C1723">
        <v>2021</v>
      </c>
      <c r="D1723" t="s">
        <v>125</v>
      </c>
      <c r="E1723">
        <v>18</v>
      </c>
      <c r="F1723">
        <v>11</v>
      </c>
      <c r="G1723">
        <v>7</v>
      </c>
      <c r="H1723">
        <v>0</v>
      </c>
      <c r="I1723" t="s">
        <v>24</v>
      </c>
    </row>
    <row r="1724" spans="1:9">
      <c r="A1724" t="s">
        <v>100</v>
      </c>
      <c r="B1724" t="s">
        <v>14</v>
      </c>
      <c r="C1724">
        <v>2021</v>
      </c>
      <c r="D1724" t="s">
        <v>125</v>
      </c>
      <c r="E1724">
        <v>14</v>
      </c>
      <c r="F1724">
        <v>12</v>
      </c>
      <c r="G1724">
        <v>2</v>
      </c>
      <c r="H1724">
        <v>0</v>
      </c>
      <c r="I1724" t="s">
        <v>24</v>
      </c>
    </row>
    <row r="1725" spans="1:9">
      <c r="A1725" t="s">
        <v>17</v>
      </c>
      <c r="B1725" t="s">
        <v>18</v>
      </c>
      <c r="C1725">
        <v>2021</v>
      </c>
      <c r="D1725" t="s">
        <v>125</v>
      </c>
      <c r="E1725">
        <v>4</v>
      </c>
      <c r="F1725">
        <v>4</v>
      </c>
      <c r="G1725">
        <v>0</v>
      </c>
      <c r="H1725">
        <v>12</v>
      </c>
      <c r="I1725" t="s">
        <v>12</v>
      </c>
    </row>
    <row r="1726" spans="1:9">
      <c r="A1726" t="s">
        <v>46</v>
      </c>
      <c r="B1726" t="s">
        <v>33</v>
      </c>
      <c r="C1726">
        <v>2021</v>
      </c>
      <c r="D1726" t="s">
        <v>125</v>
      </c>
      <c r="E1726">
        <v>13</v>
      </c>
      <c r="F1726">
        <v>13</v>
      </c>
      <c r="G1726">
        <v>0</v>
      </c>
      <c r="H1726">
        <v>0</v>
      </c>
      <c r="I1726" t="s">
        <v>24</v>
      </c>
    </row>
    <row r="1727" spans="1:9">
      <c r="A1727" t="s">
        <v>20</v>
      </c>
      <c r="B1727" t="s">
        <v>10</v>
      </c>
      <c r="C1727">
        <v>2021</v>
      </c>
      <c r="D1727" t="s">
        <v>125</v>
      </c>
      <c r="E1727">
        <v>5</v>
      </c>
      <c r="F1727">
        <v>3</v>
      </c>
      <c r="G1727">
        <v>2</v>
      </c>
      <c r="H1727">
        <v>15</v>
      </c>
      <c r="I1727" t="s">
        <v>12</v>
      </c>
    </row>
    <row r="1728" spans="1:9">
      <c r="A1728" t="s">
        <v>25</v>
      </c>
      <c r="B1728" t="s">
        <v>18</v>
      </c>
      <c r="C1728">
        <v>2021</v>
      </c>
      <c r="D1728" t="s">
        <v>125</v>
      </c>
      <c r="E1728">
        <v>1</v>
      </c>
      <c r="F1728">
        <v>1</v>
      </c>
      <c r="G1728">
        <v>0</v>
      </c>
      <c r="H1728">
        <v>25</v>
      </c>
      <c r="I1728" t="s">
        <v>12</v>
      </c>
    </row>
    <row r="1729" spans="1:9">
      <c r="A1729" t="s">
        <v>26</v>
      </c>
      <c r="B1729" t="s">
        <v>27</v>
      </c>
      <c r="C1729">
        <v>2021</v>
      </c>
      <c r="D1729" t="s">
        <v>125</v>
      </c>
      <c r="E1729">
        <v>12</v>
      </c>
      <c r="F1729">
        <v>6</v>
      </c>
      <c r="G1729">
        <v>6</v>
      </c>
      <c r="H1729">
        <v>8</v>
      </c>
      <c r="I1729" t="s">
        <v>24</v>
      </c>
    </row>
    <row r="1730" spans="1:9">
      <c r="A1730" t="s">
        <v>48</v>
      </c>
      <c r="B1730" t="s">
        <v>30</v>
      </c>
      <c r="C1730">
        <v>2021</v>
      </c>
      <c r="D1730" t="s">
        <v>125</v>
      </c>
      <c r="E1730">
        <v>17</v>
      </c>
      <c r="F1730">
        <v>14</v>
      </c>
      <c r="G1730">
        <v>3</v>
      </c>
      <c r="H1730">
        <v>0</v>
      </c>
      <c r="I1730" t="s">
        <v>24</v>
      </c>
    </row>
    <row r="1731" spans="1:9">
      <c r="A1731" t="s">
        <v>28</v>
      </c>
      <c r="B1731" t="s">
        <v>14</v>
      </c>
      <c r="C1731">
        <v>2021</v>
      </c>
      <c r="D1731" t="s">
        <v>125</v>
      </c>
      <c r="E1731">
        <v>9</v>
      </c>
      <c r="F1731">
        <v>8</v>
      </c>
      <c r="G1731">
        <v>1</v>
      </c>
      <c r="H1731">
        <v>4</v>
      </c>
      <c r="I1731" t="s">
        <v>24</v>
      </c>
    </row>
    <row r="1732" spans="1:9">
      <c r="A1732" t="s">
        <v>115</v>
      </c>
      <c r="B1732" t="s">
        <v>87</v>
      </c>
      <c r="C1732">
        <v>2021</v>
      </c>
      <c r="D1732" t="s">
        <v>125</v>
      </c>
      <c r="E1732">
        <v>15</v>
      </c>
      <c r="F1732">
        <v>15</v>
      </c>
      <c r="G1732">
        <v>0</v>
      </c>
      <c r="H1732">
        <v>0</v>
      </c>
      <c r="I1732" t="s">
        <v>24</v>
      </c>
    </row>
    <row r="1733" spans="1:9">
      <c r="A1733" t="s">
        <v>29</v>
      </c>
      <c r="B1733" t="s">
        <v>86</v>
      </c>
      <c r="C1733">
        <v>2021</v>
      </c>
      <c r="D1733" t="s">
        <v>125</v>
      </c>
      <c r="E1733">
        <v>6</v>
      </c>
      <c r="F1733">
        <v>20</v>
      </c>
      <c r="G1733">
        <v>-14</v>
      </c>
      <c r="H1733">
        <v>0</v>
      </c>
      <c r="I1733" t="s">
        <v>19</v>
      </c>
    </row>
    <row r="1734" spans="1:9">
      <c r="A1734" t="s">
        <v>31</v>
      </c>
      <c r="B1734" t="s">
        <v>27</v>
      </c>
      <c r="C1734">
        <v>2021</v>
      </c>
      <c r="D1734" t="s">
        <v>125</v>
      </c>
      <c r="E1734">
        <v>7</v>
      </c>
      <c r="F1734">
        <v>7</v>
      </c>
      <c r="G1734">
        <v>0</v>
      </c>
      <c r="H1734">
        <v>6</v>
      </c>
      <c r="I1734" t="s">
        <v>24</v>
      </c>
    </row>
    <row r="1735" spans="1:9">
      <c r="A1735" t="s">
        <v>32</v>
      </c>
      <c r="B1735" t="s">
        <v>33</v>
      </c>
      <c r="C1735">
        <v>2021</v>
      </c>
      <c r="D1735" t="s">
        <v>125</v>
      </c>
      <c r="E1735">
        <v>3</v>
      </c>
      <c r="F1735">
        <v>5</v>
      </c>
      <c r="G1735">
        <v>-2</v>
      </c>
      <c r="H1735">
        <v>10</v>
      </c>
      <c r="I1735" t="s">
        <v>24</v>
      </c>
    </row>
    <row r="1736" spans="1:9">
      <c r="A1736" t="s">
        <v>34</v>
      </c>
      <c r="B1736" t="s">
        <v>36</v>
      </c>
      <c r="C1736">
        <v>2021</v>
      </c>
      <c r="D1736" t="s">
        <v>125</v>
      </c>
      <c r="E1736">
        <v>10</v>
      </c>
      <c r="F1736">
        <v>19</v>
      </c>
      <c r="G1736">
        <v>-9</v>
      </c>
      <c r="H1736">
        <v>0</v>
      </c>
      <c r="I1736" t="s">
        <v>42</v>
      </c>
    </row>
    <row r="1737" spans="1:9">
      <c r="A1737" t="s">
        <v>101</v>
      </c>
      <c r="B1737" t="s">
        <v>36</v>
      </c>
      <c r="C1737">
        <v>2021</v>
      </c>
      <c r="D1737" t="s">
        <v>125</v>
      </c>
      <c r="E1737">
        <v>16</v>
      </c>
      <c r="F1737">
        <v>17</v>
      </c>
      <c r="G1737">
        <v>-1</v>
      </c>
      <c r="H1737">
        <v>0</v>
      </c>
      <c r="I1737" t="s">
        <v>118</v>
      </c>
    </row>
    <row r="1738" spans="1:9">
      <c r="A1738" t="s">
        <v>37</v>
      </c>
      <c r="B1738" t="s">
        <v>86</v>
      </c>
      <c r="C1738">
        <v>2021</v>
      </c>
      <c r="D1738" t="s">
        <v>125</v>
      </c>
      <c r="E1738">
        <v>11</v>
      </c>
      <c r="F1738">
        <v>10</v>
      </c>
      <c r="G1738">
        <v>1</v>
      </c>
      <c r="H1738">
        <v>1</v>
      </c>
      <c r="I1738" t="s">
        <v>24</v>
      </c>
    </row>
    <row r="1739" spans="1:9">
      <c r="A1739" t="s">
        <v>116</v>
      </c>
      <c r="B1739" t="s">
        <v>16</v>
      </c>
      <c r="C1739">
        <v>2021</v>
      </c>
      <c r="D1739" t="s">
        <v>125</v>
      </c>
      <c r="E1739">
        <v>20</v>
      </c>
      <c r="F1739">
        <v>18</v>
      </c>
      <c r="G1739">
        <v>2</v>
      </c>
      <c r="H1739">
        <v>0</v>
      </c>
      <c r="I1739" t="s">
        <v>118</v>
      </c>
    </row>
    <row r="1740" spans="1:9">
      <c r="A1740" t="s">
        <v>102</v>
      </c>
      <c r="B1740" t="s">
        <v>16</v>
      </c>
      <c r="C1740">
        <v>2021</v>
      </c>
      <c r="D1740" t="s">
        <v>125</v>
      </c>
      <c r="E1740">
        <v>19</v>
      </c>
      <c r="F1740">
        <v>16</v>
      </c>
      <c r="G1740">
        <v>3</v>
      </c>
      <c r="H1740">
        <v>0</v>
      </c>
      <c r="I1740" t="s">
        <v>53</v>
      </c>
    </row>
    <row r="1741" spans="1:9">
      <c r="A1741" t="s">
        <v>9</v>
      </c>
      <c r="B1741" t="s">
        <v>10</v>
      </c>
      <c r="C1741">
        <v>2021</v>
      </c>
      <c r="D1741" t="s">
        <v>83</v>
      </c>
      <c r="E1741">
        <v>10</v>
      </c>
      <c r="F1741">
        <v>1</v>
      </c>
      <c r="G1741">
        <v>9</v>
      </c>
      <c r="H1741">
        <v>25</v>
      </c>
      <c r="I1741" t="s">
        <v>12</v>
      </c>
    </row>
    <row r="1742" spans="1:9">
      <c r="A1742" t="s">
        <v>13</v>
      </c>
      <c r="B1742" t="s">
        <v>30</v>
      </c>
      <c r="C1742">
        <v>2021</v>
      </c>
      <c r="D1742" t="s">
        <v>83</v>
      </c>
      <c r="E1742">
        <v>12</v>
      </c>
      <c r="F1742">
        <v>9</v>
      </c>
      <c r="G1742">
        <v>3</v>
      </c>
      <c r="H1742">
        <v>2</v>
      </c>
      <c r="I1742" t="s">
        <v>24</v>
      </c>
    </row>
    <row r="1743" spans="1:9">
      <c r="A1743" t="s">
        <v>114</v>
      </c>
      <c r="B1743" t="s">
        <v>87</v>
      </c>
      <c r="C1743">
        <v>2021</v>
      </c>
      <c r="D1743" t="s">
        <v>83</v>
      </c>
      <c r="E1743">
        <v>0</v>
      </c>
      <c r="F1743">
        <v>12</v>
      </c>
      <c r="G1743">
        <v>-12</v>
      </c>
      <c r="H1743">
        <v>0</v>
      </c>
      <c r="I1743" t="s">
        <v>24</v>
      </c>
    </row>
    <row r="1744" spans="1:9">
      <c r="A1744" t="s">
        <v>100</v>
      </c>
      <c r="B1744" t="s">
        <v>14</v>
      </c>
      <c r="C1744">
        <v>2021</v>
      </c>
      <c r="D1744" t="s">
        <v>83</v>
      </c>
      <c r="E1744">
        <v>9</v>
      </c>
      <c r="F1744">
        <v>11</v>
      </c>
      <c r="G1744">
        <v>-2</v>
      </c>
      <c r="H1744">
        <v>0</v>
      </c>
      <c r="I1744" t="s">
        <v>24</v>
      </c>
    </row>
    <row r="1745" spans="1:9">
      <c r="A1745" t="s">
        <v>17</v>
      </c>
      <c r="B1745" t="s">
        <v>18</v>
      </c>
      <c r="C1745">
        <v>2021</v>
      </c>
      <c r="D1745" t="s">
        <v>83</v>
      </c>
      <c r="E1745">
        <v>4</v>
      </c>
      <c r="F1745">
        <v>4</v>
      </c>
      <c r="G1745">
        <v>0</v>
      </c>
      <c r="H1745">
        <v>13</v>
      </c>
      <c r="I1745" t="s">
        <v>12</v>
      </c>
    </row>
    <row r="1746" spans="1:9">
      <c r="A1746" t="s">
        <v>46</v>
      </c>
      <c r="B1746" t="s">
        <v>33</v>
      </c>
      <c r="C1746">
        <v>2021</v>
      </c>
      <c r="D1746" t="s">
        <v>83</v>
      </c>
      <c r="E1746">
        <v>11</v>
      </c>
      <c r="F1746">
        <v>19</v>
      </c>
      <c r="G1746">
        <v>-8</v>
      </c>
      <c r="H1746">
        <v>0</v>
      </c>
      <c r="I1746" t="s">
        <v>89</v>
      </c>
    </row>
    <row r="1747" spans="1:9">
      <c r="A1747" t="s">
        <v>20</v>
      </c>
      <c r="B1747" t="s">
        <v>10</v>
      </c>
      <c r="C1747">
        <v>2021</v>
      </c>
      <c r="D1747" t="s">
        <v>83</v>
      </c>
      <c r="E1747">
        <v>1</v>
      </c>
      <c r="F1747">
        <v>3</v>
      </c>
      <c r="G1747">
        <v>-2</v>
      </c>
      <c r="H1747">
        <v>15</v>
      </c>
      <c r="I1747" t="s">
        <v>12</v>
      </c>
    </row>
    <row r="1748" spans="1:9">
      <c r="A1748" t="s">
        <v>25</v>
      </c>
      <c r="B1748" t="s">
        <v>18</v>
      </c>
      <c r="C1748">
        <v>2021</v>
      </c>
      <c r="D1748" t="s">
        <v>83</v>
      </c>
      <c r="E1748">
        <v>2</v>
      </c>
      <c r="F1748">
        <v>2</v>
      </c>
      <c r="G1748">
        <v>0</v>
      </c>
      <c r="H1748">
        <v>18</v>
      </c>
      <c r="I1748" t="s">
        <v>12</v>
      </c>
    </row>
    <row r="1749" spans="1:9">
      <c r="A1749" t="s">
        <v>26</v>
      </c>
      <c r="B1749" t="s">
        <v>27</v>
      </c>
      <c r="C1749">
        <v>2021</v>
      </c>
      <c r="D1749" t="s">
        <v>83</v>
      </c>
      <c r="E1749">
        <v>3</v>
      </c>
      <c r="F1749">
        <v>6</v>
      </c>
      <c r="G1749">
        <v>-3</v>
      </c>
      <c r="H1749">
        <v>8</v>
      </c>
      <c r="I1749" t="s">
        <v>12</v>
      </c>
    </row>
    <row r="1750" spans="1:9">
      <c r="A1750" t="s">
        <v>48</v>
      </c>
      <c r="B1750" t="s">
        <v>30</v>
      </c>
      <c r="C1750">
        <v>2021</v>
      </c>
      <c r="D1750" t="s">
        <v>83</v>
      </c>
      <c r="E1750">
        <v>8</v>
      </c>
      <c r="F1750">
        <v>8</v>
      </c>
      <c r="G1750">
        <v>0</v>
      </c>
      <c r="H1750">
        <v>4</v>
      </c>
      <c r="I1750" t="s">
        <v>24</v>
      </c>
    </row>
    <row r="1751" spans="1:9">
      <c r="A1751" t="s">
        <v>28</v>
      </c>
      <c r="B1751" t="s">
        <v>14</v>
      </c>
      <c r="C1751">
        <v>2021</v>
      </c>
      <c r="D1751" t="s">
        <v>83</v>
      </c>
      <c r="E1751">
        <v>14</v>
      </c>
      <c r="F1751">
        <v>20</v>
      </c>
      <c r="G1751">
        <v>-6</v>
      </c>
      <c r="H1751">
        <v>0</v>
      </c>
      <c r="I1751" t="s">
        <v>22</v>
      </c>
    </row>
    <row r="1752" spans="1:9">
      <c r="A1752" t="s">
        <v>115</v>
      </c>
      <c r="B1752" t="s">
        <v>87</v>
      </c>
      <c r="C1752">
        <v>2021</v>
      </c>
      <c r="D1752" t="s">
        <v>83</v>
      </c>
      <c r="E1752">
        <v>13</v>
      </c>
      <c r="F1752">
        <v>14</v>
      </c>
      <c r="G1752">
        <v>-1</v>
      </c>
      <c r="H1752">
        <v>0</v>
      </c>
      <c r="I1752" t="s">
        <v>24</v>
      </c>
    </row>
    <row r="1753" spans="1:9">
      <c r="A1753" t="s">
        <v>29</v>
      </c>
      <c r="B1753" t="s">
        <v>86</v>
      </c>
      <c r="C1753">
        <v>2021</v>
      </c>
      <c r="D1753" t="s">
        <v>83</v>
      </c>
      <c r="E1753">
        <v>7</v>
      </c>
      <c r="F1753">
        <v>7</v>
      </c>
      <c r="G1753">
        <v>0</v>
      </c>
      <c r="H1753">
        <v>6</v>
      </c>
      <c r="I1753" t="s">
        <v>24</v>
      </c>
    </row>
    <row r="1754" spans="1:9">
      <c r="A1754" t="s">
        <v>31</v>
      </c>
      <c r="B1754" t="s">
        <v>27</v>
      </c>
      <c r="C1754">
        <v>2021</v>
      </c>
      <c r="D1754" t="s">
        <v>83</v>
      </c>
      <c r="E1754">
        <v>6</v>
      </c>
      <c r="F1754">
        <v>5</v>
      </c>
      <c r="G1754">
        <v>1</v>
      </c>
      <c r="H1754">
        <v>10</v>
      </c>
      <c r="I1754" t="s">
        <v>12</v>
      </c>
    </row>
    <row r="1755" spans="1:9">
      <c r="A1755" t="s">
        <v>32</v>
      </c>
      <c r="B1755" t="s">
        <v>33</v>
      </c>
      <c r="C1755">
        <v>2021</v>
      </c>
      <c r="D1755" t="s">
        <v>83</v>
      </c>
      <c r="E1755">
        <v>5</v>
      </c>
      <c r="F1755">
        <v>10</v>
      </c>
      <c r="G1755">
        <v>-5</v>
      </c>
      <c r="H1755">
        <v>1</v>
      </c>
      <c r="I1755" t="s">
        <v>24</v>
      </c>
    </row>
    <row r="1756" spans="1:9">
      <c r="A1756" t="s">
        <v>34</v>
      </c>
      <c r="B1756" t="s">
        <v>36</v>
      </c>
      <c r="C1756">
        <v>2021</v>
      </c>
      <c r="D1756" t="s">
        <v>83</v>
      </c>
      <c r="E1756">
        <v>17</v>
      </c>
      <c r="F1756">
        <v>13</v>
      </c>
      <c r="G1756">
        <v>4</v>
      </c>
      <c r="H1756">
        <v>0</v>
      </c>
      <c r="I1756" t="s">
        <v>24</v>
      </c>
    </row>
    <row r="1757" spans="1:9">
      <c r="A1757" t="s">
        <v>101</v>
      </c>
      <c r="B1757" t="s">
        <v>36</v>
      </c>
      <c r="C1757">
        <v>2021</v>
      </c>
      <c r="D1757" t="s">
        <v>83</v>
      </c>
      <c r="E1757">
        <v>16</v>
      </c>
      <c r="F1757">
        <v>16</v>
      </c>
      <c r="G1757">
        <v>0</v>
      </c>
      <c r="H1757">
        <v>0</v>
      </c>
      <c r="I1757" t="s">
        <v>24</v>
      </c>
    </row>
    <row r="1758" spans="1:9">
      <c r="A1758" t="s">
        <v>37</v>
      </c>
      <c r="B1758" t="s">
        <v>86</v>
      </c>
      <c r="C1758">
        <v>2021</v>
      </c>
      <c r="D1758" t="s">
        <v>83</v>
      </c>
      <c r="E1758">
        <v>15</v>
      </c>
      <c r="F1758">
        <v>15</v>
      </c>
      <c r="G1758">
        <v>0</v>
      </c>
      <c r="H1758">
        <v>0</v>
      </c>
      <c r="I1758" t="s">
        <v>24</v>
      </c>
    </row>
    <row r="1759" spans="1:9">
      <c r="A1759" t="s">
        <v>116</v>
      </c>
      <c r="B1759" t="s">
        <v>16</v>
      </c>
      <c r="C1759">
        <v>2021</v>
      </c>
      <c r="D1759" t="s">
        <v>83</v>
      </c>
      <c r="E1759">
        <v>19</v>
      </c>
      <c r="F1759">
        <v>17</v>
      </c>
      <c r="G1759">
        <v>2</v>
      </c>
      <c r="H1759">
        <v>0</v>
      </c>
      <c r="I1759" t="s">
        <v>53</v>
      </c>
    </row>
    <row r="1760" spans="1:9">
      <c r="A1760" t="s">
        <v>102</v>
      </c>
      <c r="B1760" t="s">
        <v>16</v>
      </c>
      <c r="C1760">
        <v>2021</v>
      </c>
      <c r="D1760" t="s">
        <v>83</v>
      </c>
      <c r="E1760">
        <v>18</v>
      </c>
      <c r="F1760">
        <v>18</v>
      </c>
      <c r="G1760">
        <v>0</v>
      </c>
      <c r="H1760">
        <v>0</v>
      </c>
      <c r="I1760" t="s">
        <v>53</v>
      </c>
    </row>
    <row r="1761" spans="1:9">
      <c r="A1761" t="s">
        <v>9</v>
      </c>
      <c r="B1761" t="s">
        <v>10</v>
      </c>
      <c r="C1761">
        <v>2021</v>
      </c>
      <c r="D1761" t="s">
        <v>126</v>
      </c>
      <c r="E1761">
        <v>11</v>
      </c>
      <c r="F1761">
        <v>5</v>
      </c>
      <c r="G1761">
        <v>6</v>
      </c>
      <c r="H1761">
        <v>10</v>
      </c>
      <c r="I1761" t="s">
        <v>12</v>
      </c>
    </row>
    <row r="1762" spans="1:9">
      <c r="A1762" t="s">
        <v>13</v>
      </c>
      <c r="B1762" t="s">
        <v>30</v>
      </c>
      <c r="C1762">
        <v>2021</v>
      </c>
      <c r="D1762" t="s">
        <v>126</v>
      </c>
      <c r="E1762">
        <v>5</v>
      </c>
      <c r="F1762">
        <v>16</v>
      </c>
      <c r="G1762">
        <v>-11</v>
      </c>
      <c r="H1762">
        <v>0</v>
      </c>
      <c r="I1762" t="s">
        <v>24</v>
      </c>
    </row>
    <row r="1763" spans="1:9">
      <c r="A1763" t="s">
        <v>114</v>
      </c>
      <c r="B1763" t="s">
        <v>87</v>
      </c>
      <c r="C1763">
        <v>2021</v>
      </c>
      <c r="D1763" t="s">
        <v>126</v>
      </c>
      <c r="E1763">
        <v>17</v>
      </c>
      <c r="F1763">
        <v>12</v>
      </c>
      <c r="G1763">
        <v>5</v>
      </c>
      <c r="H1763">
        <v>0</v>
      </c>
      <c r="I1763" t="s">
        <v>24</v>
      </c>
    </row>
    <row r="1764" spans="1:9">
      <c r="A1764" t="s">
        <v>100</v>
      </c>
      <c r="B1764" t="s">
        <v>14</v>
      </c>
      <c r="C1764">
        <v>2021</v>
      </c>
      <c r="D1764" t="s">
        <v>126</v>
      </c>
      <c r="E1764">
        <v>10</v>
      </c>
      <c r="F1764">
        <v>18</v>
      </c>
      <c r="G1764">
        <v>-8</v>
      </c>
      <c r="H1764">
        <v>0</v>
      </c>
      <c r="I1764" t="s">
        <v>24</v>
      </c>
    </row>
    <row r="1765" spans="1:9">
      <c r="A1765" t="s">
        <v>17</v>
      </c>
      <c r="B1765" t="s">
        <v>18</v>
      </c>
      <c r="C1765">
        <v>2021</v>
      </c>
      <c r="D1765" t="s">
        <v>126</v>
      </c>
      <c r="E1765">
        <v>6</v>
      </c>
      <c r="F1765">
        <v>3</v>
      </c>
      <c r="G1765">
        <v>3</v>
      </c>
      <c r="H1765">
        <v>15</v>
      </c>
      <c r="I1765" t="s">
        <v>12</v>
      </c>
    </row>
    <row r="1766" spans="1:9">
      <c r="A1766" t="s">
        <v>46</v>
      </c>
      <c r="B1766" t="s">
        <v>33</v>
      </c>
      <c r="C1766">
        <v>2021</v>
      </c>
      <c r="D1766" t="s">
        <v>126</v>
      </c>
      <c r="E1766">
        <v>20</v>
      </c>
      <c r="F1766">
        <v>13</v>
      </c>
      <c r="G1766">
        <v>7</v>
      </c>
      <c r="H1766">
        <v>0</v>
      </c>
      <c r="I1766" t="s">
        <v>24</v>
      </c>
    </row>
    <row r="1767" spans="1:9">
      <c r="A1767" t="s">
        <v>20</v>
      </c>
      <c r="B1767" t="s">
        <v>10</v>
      </c>
      <c r="C1767">
        <v>2021</v>
      </c>
      <c r="D1767" t="s">
        <v>126</v>
      </c>
      <c r="E1767">
        <v>1</v>
      </c>
      <c r="F1767">
        <v>1</v>
      </c>
      <c r="G1767">
        <v>0</v>
      </c>
      <c r="H1767">
        <v>26</v>
      </c>
      <c r="I1767" t="s">
        <v>12</v>
      </c>
    </row>
    <row r="1768" spans="1:9">
      <c r="A1768" t="s">
        <v>25</v>
      </c>
      <c r="B1768" t="s">
        <v>18</v>
      </c>
      <c r="C1768">
        <v>2021</v>
      </c>
      <c r="D1768" t="s">
        <v>126</v>
      </c>
      <c r="E1768">
        <v>2</v>
      </c>
      <c r="F1768">
        <v>2</v>
      </c>
      <c r="G1768">
        <v>0</v>
      </c>
      <c r="H1768">
        <v>18</v>
      </c>
      <c r="I1768" t="s">
        <v>12</v>
      </c>
    </row>
    <row r="1769" spans="1:9">
      <c r="A1769" t="s">
        <v>26</v>
      </c>
      <c r="B1769" t="s">
        <v>27</v>
      </c>
      <c r="C1769">
        <v>2021</v>
      </c>
      <c r="D1769" t="s">
        <v>126</v>
      </c>
      <c r="E1769">
        <v>19</v>
      </c>
      <c r="F1769">
        <v>8</v>
      </c>
      <c r="G1769">
        <v>11</v>
      </c>
      <c r="H1769">
        <v>4</v>
      </c>
      <c r="I1769" t="s">
        <v>12</v>
      </c>
    </row>
    <row r="1770" spans="1:9">
      <c r="A1770" t="s">
        <v>48</v>
      </c>
      <c r="B1770" t="s">
        <v>30</v>
      </c>
      <c r="C1770">
        <v>2021</v>
      </c>
      <c r="D1770" t="s">
        <v>126</v>
      </c>
      <c r="E1770">
        <v>12</v>
      </c>
      <c r="F1770">
        <v>10</v>
      </c>
      <c r="G1770">
        <v>2</v>
      </c>
      <c r="H1770">
        <v>1</v>
      </c>
      <c r="I1770" t="s">
        <v>24</v>
      </c>
    </row>
    <row r="1771" spans="1:9">
      <c r="A1771" t="s">
        <v>28</v>
      </c>
      <c r="B1771" t="s">
        <v>14</v>
      </c>
      <c r="C1771">
        <v>2021</v>
      </c>
      <c r="D1771" t="s">
        <v>126</v>
      </c>
      <c r="E1771">
        <v>8</v>
      </c>
      <c r="F1771">
        <v>9</v>
      </c>
      <c r="G1771">
        <v>-1</v>
      </c>
      <c r="H1771">
        <v>2</v>
      </c>
      <c r="I1771" t="s">
        <v>12</v>
      </c>
    </row>
    <row r="1772" spans="1:9">
      <c r="A1772" t="s">
        <v>115</v>
      </c>
      <c r="B1772" t="s">
        <v>87</v>
      </c>
      <c r="C1772">
        <v>2021</v>
      </c>
      <c r="D1772" t="s">
        <v>126</v>
      </c>
      <c r="E1772">
        <v>16</v>
      </c>
      <c r="F1772">
        <v>11</v>
      </c>
      <c r="G1772">
        <v>5</v>
      </c>
      <c r="H1772">
        <v>0</v>
      </c>
      <c r="I1772" t="s">
        <v>24</v>
      </c>
    </row>
    <row r="1773" spans="1:9">
      <c r="A1773" t="s">
        <v>29</v>
      </c>
      <c r="B1773" t="s">
        <v>86</v>
      </c>
      <c r="C1773">
        <v>2021</v>
      </c>
      <c r="D1773" t="s">
        <v>126</v>
      </c>
      <c r="E1773">
        <v>4</v>
      </c>
      <c r="F1773">
        <v>6</v>
      </c>
      <c r="G1773">
        <v>-2</v>
      </c>
      <c r="H1773">
        <v>8</v>
      </c>
      <c r="I1773" t="s">
        <v>12</v>
      </c>
    </row>
    <row r="1774" spans="1:9">
      <c r="A1774" t="s">
        <v>31</v>
      </c>
      <c r="B1774" t="s">
        <v>27</v>
      </c>
      <c r="C1774">
        <v>2021</v>
      </c>
      <c r="D1774" t="s">
        <v>126</v>
      </c>
      <c r="E1774">
        <v>3</v>
      </c>
      <c r="F1774">
        <v>4</v>
      </c>
      <c r="G1774">
        <v>-1</v>
      </c>
      <c r="H1774">
        <v>12</v>
      </c>
      <c r="I1774" t="s">
        <v>12</v>
      </c>
    </row>
    <row r="1775" spans="1:9">
      <c r="A1775" t="s">
        <v>32</v>
      </c>
      <c r="B1775" t="s">
        <v>33</v>
      </c>
      <c r="C1775">
        <v>2021</v>
      </c>
      <c r="D1775" t="s">
        <v>126</v>
      </c>
      <c r="E1775">
        <v>7</v>
      </c>
      <c r="F1775">
        <v>7</v>
      </c>
      <c r="G1775">
        <v>0</v>
      </c>
      <c r="H1775">
        <v>6</v>
      </c>
      <c r="I1775" t="s">
        <v>12</v>
      </c>
    </row>
    <row r="1776" spans="1:9">
      <c r="A1776" t="s">
        <v>34</v>
      </c>
      <c r="B1776" t="s">
        <v>36</v>
      </c>
      <c r="C1776">
        <v>2021</v>
      </c>
      <c r="D1776" t="s">
        <v>126</v>
      </c>
      <c r="E1776">
        <v>13</v>
      </c>
      <c r="F1776">
        <v>15</v>
      </c>
      <c r="G1776">
        <v>-2</v>
      </c>
      <c r="H1776">
        <v>0</v>
      </c>
      <c r="I1776" t="s">
        <v>24</v>
      </c>
    </row>
    <row r="1777" spans="1:9">
      <c r="A1777" t="s">
        <v>101</v>
      </c>
      <c r="B1777" t="s">
        <v>36</v>
      </c>
      <c r="C1777">
        <v>2021</v>
      </c>
      <c r="D1777" t="s">
        <v>126</v>
      </c>
      <c r="E1777">
        <v>15</v>
      </c>
      <c r="F1777">
        <v>17</v>
      </c>
      <c r="G1777">
        <v>-2</v>
      </c>
      <c r="H1777">
        <v>0</v>
      </c>
      <c r="I1777" t="s">
        <v>24</v>
      </c>
    </row>
    <row r="1778" spans="1:9">
      <c r="A1778" t="s">
        <v>37</v>
      </c>
      <c r="B1778" t="s">
        <v>86</v>
      </c>
      <c r="C1778">
        <v>2021</v>
      </c>
      <c r="D1778" t="s">
        <v>126</v>
      </c>
      <c r="E1778">
        <v>9</v>
      </c>
      <c r="F1778">
        <v>14</v>
      </c>
      <c r="G1778">
        <v>-5</v>
      </c>
      <c r="H1778">
        <v>0</v>
      </c>
      <c r="I1778" t="s">
        <v>24</v>
      </c>
    </row>
    <row r="1779" spans="1:9">
      <c r="A1779" t="s">
        <v>116</v>
      </c>
      <c r="B1779" t="s">
        <v>16</v>
      </c>
      <c r="C1779">
        <v>2021</v>
      </c>
      <c r="D1779" t="s">
        <v>126</v>
      </c>
      <c r="E1779">
        <v>18</v>
      </c>
      <c r="F1779">
        <v>20</v>
      </c>
      <c r="G1779">
        <v>-2</v>
      </c>
      <c r="H1779">
        <v>0</v>
      </c>
      <c r="I1779" t="s">
        <v>53</v>
      </c>
    </row>
    <row r="1780" spans="1:9">
      <c r="A1780" t="s">
        <v>102</v>
      </c>
      <c r="B1780" t="s">
        <v>16</v>
      </c>
      <c r="C1780">
        <v>2021</v>
      </c>
      <c r="D1780" t="s">
        <v>126</v>
      </c>
      <c r="E1780">
        <v>14</v>
      </c>
      <c r="F1780">
        <v>19</v>
      </c>
      <c r="G1780">
        <v>-5</v>
      </c>
      <c r="H1780">
        <v>0</v>
      </c>
      <c r="I1780" t="s">
        <v>53</v>
      </c>
    </row>
    <row r="1781" spans="1:9">
      <c r="A1781" t="s">
        <v>9</v>
      </c>
      <c r="B1781" t="s">
        <v>10</v>
      </c>
      <c r="C1781">
        <v>2021</v>
      </c>
      <c r="D1781" t="s">
        <v>85</v>
      </c>
      <c r="E1781">
        <v>2</v>
      </c>
      <c r="F1781">
        <v>2</v>
      </c>
      <c r="G1781">
        <v>0</v>
      </c>
      <c r="H1781">
        <v>19</v>
      </c>
      <c r="I1781" t="s">
        <v>12</v>
      </c>
    </row>
    <row r="1782" spans="1:9">
      <c r="A1782" t="s">
        <v>13</v>
      </c>
      <c r="B1782" t="s">
        <v>30</v>
      </c>
      <c r="C1782">
        <v>2021</v>
      </c>
      <c r="D1782" t="s">
        <v>85</v>
      </c>
      <c r="E1782">
        <v>19</v>
      </c>
      <c r="F1782">
        <v>18</v>
      </c>
      <c r="G1782">
        <v>1</v>
      </c>
      <c r="H1782">
        <v>0</v>
      </c>
      <c r="I1782" t="s">
        <v>95</v>
      </c>
    </row>
    <row r="1783" spans="1:9">
      <c r="A1783" t="s">
        <v>114</v>
      </c>
      <c r="B1783" t="s">
        <v>87</v>
      </c>
      <c r="C1783">
        <v>2021</v>
      </c>
      <c r="D1783" t="s">
        <v>85</v>
      </c>
      <c r="E1783">
        <v>15</v>
      </c>
      <c r="F1783">
        <v>13</v>
      </c>
      <c r="G1783">
        <v>2</v>
      </c>
      <c r="H1783">
        <v>0</v>
      </c>
      <c r="I1783" t="s">
        <v>24</v>
      </c>
    </row>
    <row r="1784" spans="1:9">
      <c r="A1784" t="s">
        <v>100</v>
      </c>
      <c r="B1784" t="s">
        <v>14</v>
      </c>
      <c r="C1784">
        <v>2021</v>
      </c>
      <c r="D1784" t="s">
        <v>85</v>
      </c>
      <c r="E1784">
        <v>18</v>
      </c>
      <c r="F1784">
        <v>10</v>
      </c>
      <c r="G1784">
        <v>8</v>
      </c>
      <c r="H1784">
        <v>1</v>
      </c>
      <c r="I1784" t="s">
        <v>24</v>
      </c>
    </row>
    <row r="1785" spans="1:9">
      <c r="A1785" t="s">
        <v>17</v>
      </c>
      <c r="B1785" t="s">
        <v>18</v>
      </c>
      <c r="C1785">
        <v>2021</v>
      </c>
      <c r="D1785" t="s">
        <v>85</v>
      </c>
      <c r="E1785">
        <v>3</v>
      </c>
      <c r="F1785">
        <v>3</v>
      </c>
      <c r="G1785">
        <v>0</v>
      </c>
      <c r="H1785">
        <v>15</v>
      </c>
      <c r="I1785" t="s">
        <v>12</v>
      </c>
    </row>
    <row r="1786" spans="1:9">
      <c r="A1786" t="s">
        <v>46</v>
      </c>
      <c r="B1786" t="s">
        <v>33</v>
      </c>
      <c r="C1786">
        <v>2021</v>
      </c>
      <c r="D1786" t="s">
        <v>85</v>
      </c>
      <c r="E1786">
        <v>6</v>
      </c>
      <c r="F1786">
        <v>5</v>
      </c>
      <c r="G1786">
        <v>1</v>
      </c>
      <c r="H1786">
        <v>10</v>
      </c>
      <c r="I1786" t="s">
        <v>12</v>
      </c>
    </row>
    <row r="1787" spans="1:9">
      <c r="A1787" t="s">
        <v>20</v>
      </c>
      <c r="B1787" t="s">
        <v>10</v>
      </c>
      <c r="C1787">
        <v>2021</v>
      </c>
      <c r="D1787" t="s">
        <v>85</v>
      </c>
      <c r="E1787">
        <v>9</v>
      </c>
      <c r="F1787">
        <v>6</v>
      </c>
      <c r="G1787">
        <v>3</v>
      </c>
      <c r="H1787">
        <v>8</v>
      </c>
      <c r="I1787" t="s">
        <v>12</v>
      </c>
    </row>
    <row r="1788" spans="1:9">
      <c r="A1788" t="s">
        <v>25</v>
      </c>
      <c r="B1788" t="s">
        <v>18</v>
      </c>
      <c r="C1788">
        <v>2021</v>
      </c>
      <c r="D1788" t="s">
        <v>85</v>
      </c>
      <c r="E1788">
        <v>1</v>
      </c>
      <c r="F1788">
        <v>1</v>
      </c>
      <c r="G1788">
        <v>0</v>
      </c>
      <c r="H1788">
        <v>25</v>
      </c>
      <c r="I1788" t="s">
        <v>12</v>
      </c>
    </row>
    <row r="1789" spans="1:9">
      <c r="A1789" t="s">
        <v>26</v>
      </c>
      <c r="B1789" t="s">
        <v>27</v>
      </c>
      <c r="C1789">
        <v>2021</v>
      </c>
      <c r="D1789" t="s">
        <v>85</v>
      </c>
      <c r="E1789">
        <v>5</v>
      </c>
      <c r="F1789">
        <v>7</v>
      </c>
      <c r="G1789">
        <v>-2</v>
      </c>
      <c r="H1789">
        <v>6</v>
      </c>
      <c r="I1789" t="s">
        <v>12</v>
      </c>
    </row>
    <row r="1790" spans="1:9">
      <c r="A1790" t="s">
        <v>48</v>
      </c>
      <c r="B1790" t="s">
        <v>30</v>
      </c>
      <c r="C1790">
        <v>2021</v>
      </c>
      <c r="D1790" t="s">
        <v>85</v>
      </c>
      <c r="E1790">
        <v>11</v>
      </c>
      <c r="F1790">
        <v>19</v>
      </c>
      <c r="G1790">
        <v>-8</v>
      </c>
      <c r="H1790">
        <v>0</v>
      </c>
      <c r="I1790" t="s">
        <v>90</v>
      </c>
    </row>
    <row r="1791" spans="1:9">
      <c r="A1791" t="s">
        <v>28</v>
      </c>
      <c r="B1791" t="s">
        <v>14</v>
      </c>
      <c r="C1791">
        <v>2021</v>
      </c>
      <c r="D1791" t="s">
        <v>85</v>
      </c>
      <c r="E1791">
        <v>13</v>
      </c>
      <c r="F1791">
        <v>12</v>
      </c>
      <c r="G1791">
        <v>1</v>
      </c>
      <c r="H1791">
        <v>0</v>
      </c>
      <c r="I1791" t="s">
        <v>24</v>
      </c>
    </row>
    <row r="1792" spans="1:9">
      <c r="A1792" t="s">
        <v>115</v>
      </c>
      <c r="B1792" t="s">
        <v>87</v>
      </c>
      <c r="C1792">
        <v>2021</v>
      </c>
      <c r="D1792" t="s">
        <v>85</v>
      </c>
      <c r="E1792">
        <v>12</v>
      </c>
      <c r="F1792">
        <v>11</v>
      </c>
      <c r="G1792">
        <v>1</v>
      </c>
      <c r="H1792">
        <v>0</v>
      </c>
      <c r="I1792" t="s">
        <v>24</v>
      </c>
    </row>
    <row r="1793" spans="1:9">
      <c r="A1793" t="s">
        <v>29</v>
      </c>
      <c r="B1793" t="s">
        <v>86</v>
      </c>
      <c r="C1793">
        <v>2021</v>
      </c>
      <c r="D1793" t="s">
        <v>85</v>
      </c>
      <c r="E1793">
        <v>8</v>
      </c>
      <c r="F1793">
        <v>20</v>
      </c>
      <c r="G1793">
        <v>-12</v>
      </c>
      <c r="H1793">
        <v>0</v>
      </c>
      <c r="I1793" t="s">
        <v>110</v>
      </c>
    </row>
    <row r="1794" spans="1:9">
      <c r="A1794" t="s">
        <v>31</v>
      </c>
      <c r="B1794" t="s">
        <v>27</v>
      </c>
      <c r="C1794">
        <v>2021</v>
      </c>
      <c r="D1794" t="s">
        <v>85</v>
      </c>
      <c r="E1794">
        <v>4</v>
      </c>
      <c r="F1794">
        <v>4</v>
      </c>
      <c r="G1794">
        <v>0</v>
      </c>
      <c r="H1794">
        <v>12</v>
      </c>
      <c r="I1794" t="s">
        <v>12</v>
      </c>
    </row>
    <row r="1795" spans="1:9">
      <c r="A1795" t="s">
        <v>32</v>
      </c>
      <c r="B1795" t="s">
        <v>33</v>
      </c>
      <c r="C1795">
        <v>2021</v>
      </c>
      <c r="D1795" t="s">
        <v>85</v>
      </c>
      <c r="E1795">
        <v>7</v>
      </c>
      <c r="F1795">
        <v>8</v>
      </c>
      <c r="G1795">
        <v>-1</v>
      </c>
      <c r="H1795">
        <v>4</v>
      </c>
      <c r="I1795" t="s">
        <v>12</v>
      </c>
    </row>
    <row r="1796" spans="1:9">
      <c r="A1796" t="s">
        <v>34</v>
      </c>
      <c r="B1796" t="s">
        <v>36</v>
      </c>
      <c r="C1796">
        <v>2021</v>
      </c>
      <c r="D1796" t="s">
        <v>85</v>
      </c>
      <c r="E1796">
        <v>20</v>
      </c>
      <c r="F1796">
        <v>14</v>
      </c>
      <c r="G1796">
        <v>6</v>
      </c>
      <c r="H1796">
        <v>0</v>
      </c>
      <c r="I1796" t="s">
        <v>24</v>
      </c>
    </row>
    <row r="1797" spans="1:9">
      <c r="A1797" t="s">
        <v>101</v>
      </c>
      <c r="B1797" t="s">
        <v>36</v>
      </c>
      <c r="C1797">
        <v>2021</v>
      </c>
      <c r="D1797" t="s">
        <v>85</v>
      </c>
      <c r="E1797">
        <v>14</v>
      </c>
      <c r="F1797">
        <v>15</v>
      </c>
      <c r="G1797">
        <v>-1</v>
      </c>
      <c r="H1797">
        <v>0</v>
      </c>
      <c r="I1797" t="s">
        <v>24</v>
      </c>
    </row>
    <row r="1798" spans="1:9">
      <c r="A1798" t="s">
        <v>37</v>
      </c>
      <c r="B1798" t="s">
        <v>86</v>
      </c>
      <c r="C1798">
        <v>2021</v>
      </c>
      <c r="D1798" t="s">
        <v>85</v>
      </c>
      <c r="E1798">
        <v>10</v>
      </c>
      <c r="F1798">
        <v>9</v>
      </c>
      <c r="G1798">
        <v>1</v>
      </c>
      <c r="H1798">
        <v>2</v>
      </c>
      <c r="I1798" t="s">
        <v>24</v>
      </c>
    </row>
    <row r="1799" spans="1:9">
      <c r="A1799" t="s">
        <v>116</v>
      </c>
      <c r="B1799" t="s">
        <v>16</v>
      </c>
      <c r="C1799">
        <v>2021</v>
      </c>
      <c r="D1799" t="s">
        <v>85</v>
      </c>
      <c r="E1799">
        <v>17</v>
      </c>
      <c r="F1799">
        <v>17</v>
      </c>
      <c r="G1799">
        <v>0</v>
      </c>
      <c r="H1799">
        <v>0</v>
      </c>
      <c r="I1799" t="s">
        <v>53</v>
      </c>
    </row>
    <row r="1800" spans="1:9">
      <c r="A1800" t="s">
        <v>102</v>
      </c>
      <c r="B1800" t="s">
        <v>16</v>
      </c>
      <c r="C1800">
        <v>2021</v>
      </c>
      <c r="D1800" t="s">
        <v>85</v>
      </c>
      <c r="E1800">
        <v>16</v>
      </c>
      <c r="F1800">
        <v>16</v>
      </c>
      <c r="G1800">
        <v>0</v>
      </c>
      <c r="H1800">
        <v>0</v>
      </c>
      <c r="I1800" t="s">
        <v>53</v>
      </c>
    </row>
    <row r="1801" spans="1:9">
      <c r="A1801" t="s">
        <v>9</v>
      </c>
      <c r="B1801" t="s">
        <v>10</v>
      </c>
      <c r="C1801">
        <v>2020</v>
      </c>
      <c r="D1801" t="s">
        <v>127</v>
      </c>
      <c r="E1801">
        <v>2</v>
      </c>
      <c r="F1801">
        <v>2</v>
      </c>
      <c r="G1801">
        <v>0</v>
      </c>
      <c r="H1801">
        <v>19</v>
      </c>
      <c r="I1801" t="s">
        <v>12</v>
      </c>
    </row>
    <row r="1802" spans="1:9">
      <c r="A1802" t="s">
        <v>114</v>
      </c>
      <c r="B1802" t="s">
        <v>87</v>
      </c>
      <c r="C1802">
        <v>2020</v>
      </c>
      <c r="D1802" t="s">
        <v>127</v>
      </c>
      <c r="E1802">
        <v>20</v>
      </c>
      <c r="F1802">
        <v>15</v>
      </c>
      <c r="G1802">
        <v>5</v>
      </c>
      <c r="H1802">
        <v>0</v>
      </c>
      <c r="I1802" t="s">
        <v>24</v>
      </c>
    </row>
    <row r="1803" spans="1:9">
      <c r="A1803" t="s">
        <v>100</v>
      </c>
      <c r="B1803" t="s">
        <v>27</v>
      </c>
      <c r="C1803">
        <v>2020</v>
      </c>
      <c r="D1803" t="s">
        <v>127</v>
      </c>
      <c r="E1803">
        <v>11</v>
      </c>
      <c r="F1803">
        <v>12</v>
      </c>
      <c r="G1803">
        <v>-1</v>
      </c>
      <c r="H1803">
        <v>0</v>
      </c>
      <c r="I1803" t="s">
        <v>12</v>
      </c>
    </row>
    <row r="1804" spans="1:9">
      <c r="A1804" t="s">
        <v>128</v>
      </c>
      <c r="B1804" t="s">
        <v>16</v>
      </c>
      <c r="C1804">
        <v>2020</v>
      </c>
      <c r="D1804" t="s">
        <v>127</v>
      </c>
      <c r="E1804">
        <v>13</v>
      </c>
      <c r="F1804">
        <v>16</v>
      </c>
      <c r="G1804">
        <v>-3</v>
      </c>
      <c r="H1804">
        <v>0</v>
      </c>
      <c r="I1804" t="s">
        <v>24</v>
      </c>
    </row>
    <row r="1805" spans="1:9">
      <c r="A1805" t="s">
        <v>15</v>
      </c>
      <c r="B1805" t="s">
        <v>129</v>
      </c>
      <c r="C1805">
        <v>2020</v>
      </c>
      <c r="D1805" t="s">
        <v>127</v>
      </c>
      <c r="E1805">
        <v>3</v>
      </c>
      <c r="F1805">
        <v>7</v>
      </c>
      <c r="G1805">
        <v>-4</v>
      </c>
      <c r="H1805">
        <v>6</v>
      </c>
      <c r="I1805" t="s">
        <v>12</v>
      </c>
    </row>
    <row r="1806" spans="1:9">
      <c r="A1806" t="s">
        <v>46</v>
      </c>
      <c r="B1806" t="s">
        <v>130</v>
      </c>
      <c r="C1806">
        <v>2020</v>
      </c>
      <c r="D1806" t="s">
        <v>127</v>
      </c>
      <c r="E1806">
        <v>5</v>
      </c>
      <c r="F1806">
        <v>14</v>
      </c>
      <c r="G1806">
        <v>-9</v>
      </c>
      <c r="H1806">
        <v>0</v>
      </c>
      <c r="I1806" t="s">
        <v>24</v>
      </c>
    </row>
    <row r="1807" spans="1:9">
      <c r="A1807" t="s">
        <v>20</v>
      </c>
      <c r="B1807" t="s">
        <v>10</v>
      </c>
      <c r="C1807">
        <v>2020</v>
      </c>
      <c r="D1807" t="s">
        <v>127</v>
      </c>
      <c r="E1807">
        <v>1</v>
      </c>
      <c r="F1807">
        <v>3</v>
      </c>
      <c r="G1807">
        <v>-2</v>
      </c>
      <c r="H1807">
        <v>15</v>
      </c>
      <c r="I1807" t="s">
        <v>12</v>
      </c>
    </row>
    <row r="1808" spans="1:9">
      <c r="A1808" t="s">
        <v>23</v>
      </c>
      <c r="B1808" t="s">
        <v>16</v>
      </c>
      <c r="C1808">
        <v>2020</v>
      </c>
      <c r="D1808" t="s">
        <v>127</v>
      </c>
      <c r="E1808">
        <v>17</v>
      </c>
      <c r="F1808">
        <v>20</v>
      </c>
      <c r="G1808">
        <v>-3</v>
      </c>
      <c r="H1808">
        <v>0</v>
      </c>
      <c r="I1808" t="s">
        <v>55</v>
      </c>
    </row>
    <row r="1809" spans="1:9">
      <c r="A1809" t="s">
        <v>131</v>
      </c>
      <c r="B1809" t="s">
        <v>86</v>
      </c>
      <c r="C1809">
        <v>2020</v>
      </c>
      <c r="D1809" t="s">
        <v>127</v>
      </c>
      <c r="E1809">
        <v>16</v>
      </c>
      <c r="F1809">
        <v>10</v>
      </c>
      <c r="G1809">
        <v>6</v>
      </c>
      <c r="H1809">
        <v>1</v>
      </c>
      <c r="I1809" t="s">
        <v>12</v>
      </c>
    </row>
    <row r="1810" spans="1:9">
      <c r="A1810" t="s">
        <v>25</v>
      </c>
      <c r="B1810" t="s">
        <v>18</v>
      </c>
      <c r="C1810">
        <v>2020</v>
      </c>
      <c r="D1810" t="s">
        <v>127</v>
      </c>
      <c r="E1810">
        <v>4</v>
      </c>
      <c r="F1810">
        <v>1</v>
      </c>
      <c r="G1810">
        <v>3</v>
      </c>
      <c r="H1810">
        <v>25</v>
      </c>
      <c r="I1810" t="s">
        <v>12</v>
      </c>
    </row>
    <row r="1811" spans="1:9">
      <c r="A1811" t="s">
        <v>26</v>
      </c>
      <c r="B1811" t="s">
        <v>33</v>
      </c>
      <c r="C1811">
        <v>2020</v>
      </c>
      <c r="D1811" t="s">
        <v>127</v>
      </c>
      <c r="E1811">
        <v>12</v>
      </c>
      <c r="F1811">
        <v>13</v>
      </c>
      <c r="G1811">
        <v>-1</v>
      </c>
      <c r="H1811">
        <v>0</v>
      </c>
      <c r="I1811" t="s">
        <v>12</v>
      </c>
    </row>
    <row r="1812" spans="1:9">
      <c r="A1812" t="s">
        <v>48</v>
      </c>
      <c r="B1812" t="s">
        <v>130</v>
      </c>
      <c r="C1812">
        <v>2020</v>
      </c>
      <c r="D1812" t="s">
        <v>127</v>
      </c>
      <c r="E1812">
        <v>14</v>
      </c>
      <c r="F1812">
        <v>8</v>
      </c>
      <c r="G1812">
        <v>6</v>
      </c>
      <c r="H1812">
        <v>4</v>
      </c>
      <c r="I1812" t="s">
        <v>12</v>
      </c>
    </row>
    <row r="1813" spans="1:9">
      <c r="A1813" t="s">
        <v>28</v>
      </c>
      <c r="B1813" t="s">
        <v>129</v>
      </c>
      <c r="C1813">
        <v>2020</v>
      </c>
      <c r="D1813" t="s">
        <v>127</v>
      </c>
      <c r="E1813">
        <v>6</v>
      </c>
      <c r="F1813">
        <v>6</v>
      </c>
      <c r="G1813">
        <v>0</v>
      </c>
      <c r="H1813">
        <v>8</v>
      </c>
      <c r="I1813" t="s">
        <v>12</v>
      </c>
    </row>
    <row r="1814" spans="1:9">
      <c r="A1814" t="s">
        <v>115</v>
      </c>
      <c r="B1814" t="s">
        <v>87</v>
      </c>
      <c r="C1814">
        <v>2020</v>
      </c>
      <c r="D1814" t="s">
        <v>127</v>
      </c>
      <c r="E1814">
        <v>19</v>
      </c>
      <c r="F1814">
        <v>17</v>
      </c>
      <c r="G1814">
        <v>2</v>
      </c>
      <c r="H1814">
        <v>0</v>
      </c>
      <c r="I1814" t="s">
        <v>24</v>
      </c>
    </row>
    <row r="1815" spans="1:9">
      <c r="A1815" t="s">
        <v>29</v>
      </c>
      <c r="B1815" t="s">
        <v>86</v>
      </c>
      <c r="C1815">
        <v>2020</v>
      </c>
      <c r="D1815" t="s">
        <v>127</v>
      </c>
      <c r="E1815">
        <v>7</v>
      </c>
      <c r="F1815">
        <v>11</v>
      </c>
      <c r="G1815">
        <v>-4</v>
      </c>
      <c r="H1815">
        <v>0</v>
      </c>
      <c r="I1815" t="s">
        <v>12</v>
      </c>
    </row>
    <row r="1816" spans="1:9">
      <c r="A1816" t="s">
        <v>31</v>
      </c>
      <c r="B1816" t="s">
        <v>27</v>
      </c>
      <c r="C1816">
        <v>2020</v>
      </c>
      <c r="D1816" t="s">
        <v>127</v>
      </c>
      <c r="E1816">
        <v>8</v>
      </c>
      <c r="F1816">
        <v>4</v>
      </c>
      <c r="G1816">
        <v>4</v>
      </c>
      <c r="H1816">
        <v>12</v>
      </c>
      <c r="I1816" t="s">
        <v>12</v>
      </c>
    </row>
    <row r="1817" spans="1:9">
      <c r="A1817" t="s">
        <v>32</v>
      </c>
      <c r="B1817" t="s">
        <v>33</v>
      </c>
      <c r="C1817">
        <v>2020</v>
      </c>
      <c r="D1817" t="s">
        <v>127</v>
      </c>
      <c r="E1817">
        <v>10</v>
      </c>
      <c r="F1817">
        <v>9</v>
      </c>
      <c r="G1817">
        <v>1</v>
      </c>
      <c r="H1817">
        <v>2</v>
      </c>
      <c r="I1817" t="s">
        <v>12</v>
      </c>
    </row>
    <row r="1818" spans="1:9">
      <c r="A1818" t="s">
        <v>34</v>
      </c>
      <c r="B1818" t="s">
        <v>36</v>
      </c>
      <c r="C1818">
        <v>2020</v>
      </c>
      <c r="D1818" t="s">
        <v>127</v>
      </c>
      <c r="E1818">
        <v>15</v>
      </c>
      <c r="F1818">
        <v>18</v>
      </c>
      <c r="G1818">
        <v>-3</v>
      </c>
      <c r="H1818">
        <v>0</v>
      </c>
      <c r="I1818" t="s">
        <v>24</v>
      </c>
    </row>
    <row r="1819" spans="1:9">
      <c r="A1819" t="s">
        <v>35</v>
      </c>
      <c r="B1819" t="s">
        <v>18</v>
      </c>
      <c r="C1819">
        <v>2020</v>
      </c>
      <c r="D1819" t="s">
        <v>127</v>
      </c>
      <c r="E1819">
        <v>9</v>
      </c>
      <c r="F1819">
        <v>5</v>
      </c>
      <c r="G1819">
        <v>4</v>
      </c>
      <c r="H1819">
        <v>10</v>
      </c>
      <c r="I1819" t="s">
        <v>12</v>
      </c>
    </row>
    <row r="1820" spans="1:9">
      <c r="A1820" t="s">
        <v>101</v>
      </c>
      <c r="B1820" t="s">
        <v>36</v>
      </c>
      <c r="C1820">
        <v>2020</v>
      </c>
      <c r="D1820" t="s">
        <v>127</v>
      </c>
      <c r="E1820">
        <v>18</v>
      </c>
      <c r="F1820">
        <v>19</v>
      </c>
      <c r="G1820">
        <v>-1</v>
      </c>
      <c r="H1820">
        <v>0</v>
      </c>
      <c r="I1820" t="s">
        <v>24</v>
      </c>
    </row>
    <row r="1821" spans="1:9">
      <c r="A1821" t="s">
        <v>9</v>
      </c>
      <c r="B1821" t="s">
        <v>10</v>
      </c>
      <c r="C1821">
        <v>2020</v>
      </c>
      <c r="D1821" t="s">
        <v>11</v>
      </c>
      <c r="E1821">
        <v>3</v>
      </c>
      <c r="F1821">
        <v>3</v>
      </c>
      <c r="G1821">
        <v>0</v>
      </c>
      <c r="H1821">
        <v>15</v>
      </c>
      <c r="I1821" t="s">
        <v>12</v>
      </c>
    </row>
    <row r="1822" spans="1:9">
      <c r="A1822" t="s">
        <v>114</v>
      </c>
      <c r="B1822" t="s">
        <v>87</v>
      </c>
      <c r="C1822">
        <v>2020</v>
      </c>
      <c r="D1822" t="s">
        <v>11</v>
      </c>
      <c r="E1822">
        <v>15</v>
      </c>
      <c r="F1822">
        <v>12</v>
      </c>
      <c r="G1822">
        <v>3</v>
      </c>
      <c r="H1822">
        <v>0</v>
      </c>
      <c r="I1822" t="s">
        <v>24</v>
      </c>
    </row>
    <row r="1823" spans="1:9">
      <c r="A1823" t="s">
        <v>100</v>
      </c>
      <c r="B1823" t="s">
        <v>27</v>
      </c>
      <c r="C1823">
        <v>2020</v>
      </c>
      <c r="D1823" t="s">
        <v>11</v>
      </c>
      <c r="E1823">
        <v>13</v>
      </c>
      <c r="F1823">
        <v>14</v>
      </c>
      <c r="G1823">
        <v>-1</v>
      </c>
      <c r="H1823">
        <v>0</v>
      </c>
      <c r="I1823" t="s">
        <v>24</v>
      </c>
    </row>
    <row r="1824" spans="1:9">
      <c r="A1824" t="s">
        <v>17</v>
      </c>
      <c r="B1824" t="s">
        <v>129</v>
      </c>
      <c r="C1824">
        <v>2020</v>
      </c>
      <c r="D1824" t="s">
        <v>11</v>
      </c>
      <c r="E1824">
        <v>19</v>
      </c>
      <c r="F1824">
        <v>20</v>
      </c>
      <c r="G1824">
        <v>-1</v>
      </c>
      <c r="H1824">
        <v>0</v>
      </c>
      <c r="I1824" t="s">
        <v>132</v>
      </c>
    </row>
    <row r="1825" spans="1:9">
      <c r="A1825" t="s">
        <v>46</v>
      </c>
      <c r="B1825" t="s">
        <v>130</v>
      </c>
      <c r="C1825">
        <v>2020</v>
      </c>
      <c r="D1825" t="s">
        <v>11</v>
      </c>
      <c r="E1825">
        <v>11</v>
      </c>
      <c r="F1825">
        <v>7</v>
      </c>
      <c r="G1825">
        <v>4</v>
      </c>
      <c r="H1825">
        <v>7</v>
      </c>
      <c r="I1825" t="s">
        <v>12</v>
      </c>
    </row>
    <row r="1826" spans="1:9">
      <c r="A1826" t="s">
        <v>20</v>
      </c>
      <c r="B1826" t="s">
        <v>10</v>
      </c>
      <c r="C1826">
        <v>2020</v>
      </c>
      <c r="D1826" t="s">
        <v>11</v>
      </c>
      <c r="E1826">
        <v>2</v>
      </c>
      <c r="F1826">
        <v>2</v>
      </c>
      <c r="G1826">
        <v>0</v>
      </c>
      <c r="H1826">
        <v>18</v>
      </c>
      <c r="I1826" t="s">
        <v>12</v>
      </c>
    </row>
    <row r="1827" spans="1:9">
      <c r="A1827" t="s">
        <v>23</v>
      </c>
      <c r="B1827" t="s">
        <v>16</v>
      </c>
      <c r="C1827">
        <v>2020</v>
      </c>
      <c r="D1827" t="s">
        <v>11</v>
      </c>
      <c r="E1827">
        <v>20</v>
      </c>
      <c r="F1827">
        <v>18</v>
      </c>
      <c r="G1827">
        <v>2</v>
      </c>
      <c r="H1827">
        <v>0</v>
      </c>
      <c r="I1827" t="s">
        <v>24</v>
      </c>
    </row>
    <row r="1828" spans="1:9">
      <c r="A1828" t="s">
        <v>131</v>
      </c>
      <c r="B1828" t="s">
        <v>86</v>
      </c>
      <c r="C1828">
        <v>2020</v>
      </c>
      <c r="D1828" t="s">
        <v>11</v>
      </c>
      <c r="E1828">
        <v>7</v>
      </c>
      <c r="F1828">
        <v>11</v>
      </c>
      <c r="G1828">
        <v>-4</v>
      </c>
      <c r="H1828">
        <v>0</v>
      </c>
      <c r="I1828" t="s">
        <v>24</v>
      </c>
    </row>
    <row r="1829" spans="1:9">
      <c r="A1829" t="s">
        <v>25</v>
      </c>
      <c r="B1829" t="s">
        <v>18</v>
      </c>
      <c r="C1829">
        <v>2020</v>
      </c>
      <c r="D1829" t="s">
        <v>11</v>
      </c>
      <c r="E1829">
        <v>1</v>
      </c>
      <c r="F1829">
        <v>1</v>
      </c>
      <c r="G1829">
        <v>0</v>
      </c>
      <c r="H1829">
        <v>25</v>
      </c>
      <c r="I1829" t="s">
        <v>12</v>
      </c>
    </row>
    <row r="1830" spans="1:9">
      <c r="A1830" t="s">
        <v>26</v>
      </c>
      <c r="B1830" t="s">
        <v>33</v>
      </c>
      <c r="C1830">
        <v>2020</v>
      </c>
      <c r="D1830" t="s">
        <v>11</v>
      </c>
      <c r="E1830">
        <v>6</v>
      </c>
      <c r="F1830">
        <v>6</v>
      </c>
      <c r="G1830">
        <v>0</v>
      </c>
      <c r="H1830">
        <v>8</v>
      </c>
      <c r="I1830" t="s">
        <v>12</v>
      </c>
    </row>
    <row r="1831" spans="1:9">
      <c r="A1831" t="s">
        <v>48</v>
      </c>
      <c r="B1831" t="s">
        <v>130</v>
      </c>
      <c r="C1831">
        <v>2020</v>
      </c>
      <c r="D1831" t="s">
        <v>11</v>
      </c>
      <c r="E1831">
        <v>10</v>
      </c>
      <c r="F1831">
        <v>9</v>
      </c>
      <c r="G1831">
        <v>1</v>
      </c>
      <c r="H1831">
        <v>2</v>
      </c>
      <c r="I1831" t="s">
        <v>12</v>
      </c>
    </row>
    <row r="1832" spans="1:9">
      <c r="A1832" t="s">
        <v>28</v>
      </c>
      <c r="B1832" t="s">
        <v>129</v>
      </c>
      <c r="C1832">
        <v>2020</v>
      </c>
      <c r="D1832" t="s">
        <v>11</v>
      </c>
      <c r="E1832">
        <v>8</v>
      </c>
      <c r="F1832">
        <v>10</v>
      </c>
      <c r="G1832">
        <v>-2</v>
      </c>
      <c r="H1832">
        <v>1</v>
      </c>
      <c r="I1832" t="s">
        <v>12</v>
      </c>
    </row>
    <row r="1833" spans="1:9">
      <c r="A1833" t="s">
        <v>115</v>
      </c>
      <c r="B1833" t="s">
        <v>87</v>
      </c>
      <c r="C1833">
        <v>2020</v>
      </c>
      <c r="D1833" t="s">
        <v>11</v>
      </c>
      <c r="E1833">
        <v>14</v>
      </c>
      <c r="F1833">
        <v>16</v>
      </c>
      <c r="G1833">
        <v>-2</v>
      </c>
      <c r="H1833">
        <v>0</v>
      </c>
      <c r="I1833" t="s">
        <v>24</v>
      </c>
    </row>
    <row r="1834" spans="1:9">
      <c r="A1834" t="s">
        <v>29</v>
      </c>
      <c r="B1834" t="s">
        <v>86</v>
      </c>
      <c r="C1834">
        <v>2020</v>
      </c>
      <c r="D1834" t="s">
        <v>11</v>
      </c>
      <c r="E1834">
        <v>9</v>
      </c>
      <c r="F1834">
        <v>8</v>
      </c>
      <c r="G1834">
        <v>1</v>
      </c>
      <c r="H1834">
        <v>4</v>
      </c>
      <c r="I1834" t="s">
        <v>12</v>
      </c>
    </row>
    <row r="1835" spans="1:9">
      <c r="A1835" t="s">
        <v>31</v>
      </c>
      <c r="B1835" t="s">
        <v>27</v>
      </c>
      <c r="C1835">
        <v>2020</v>
      </c>
      <c r="D1835" t="s">
        <v>11</v>
      </c>
      <c r="E1835">
        <v>12</v>
      </c>
      <c r="F1835">
        <v>13</v>
      </c>
      <c r="G1835">
        <v>-1</v>
      </c>
      <c r="H1835">
        <v>0</v>
      </c>
      <c r="I1835" t="s">
        <v>24</v>
      </c>
    </row>
    <row r="1836" spans="1:9">
      <c r="A1836" t="s">
        <v>32</v>
      </c>
      <c r="B1836" t="s">
        <v>33</v>
      </c>
      <c r="C1836">
        <v>2020</v>
      </c>
      <c r="D1836" t="s">
        <v>11</v>
      </c>
      <c r="E1836">
        <v>4</v>
      </c>
      <c r="F1836">
        <v>5</v>
      </c>
      <c r="G1836">
        <v>-1</v>
      </c>
      <c r="H1836">
        <v>10</v>
      </c>
      <c r="I1836" t="s">
        <v>12</v>
      </c>
    </row>
    <row r="1837" spans="1:9">
      <c r="A1837" t="s">
        <v>34</v>
      </c>
      <c r="B1837" t="s">
        <v>36</v>
      </c>
      <c r="C1837">
        <v>2020</v>
      </c>
      <c r="D1837" t="s">
        <v>11</v>
      </c>
      <c r="E1837">
        <v>16</v>
      </c>
      <c r="F1837">
        <v>15</v>
      </c>
      <c r="G1837">
        <v>1</v>
      </c>
      <c r="H1837">
        <v>0</v>
      </c>
      <c r="I1837" t="s">
        <v>24</v>
      </c>
    </row>
    <row r="1838" spans="1:9">
      <c r="A1838" t="s">
        <v>35</v>
      </c>
      <c r="B1838" t="s">
        <v>18</v>
      </c>
      <c r="C1838">
        <v>2020</v>
      </c>
      <c r="D1838" t="s">
        <v>11</v>
      </c>
      <c r="E1838">
        <v>5</v>
      </c>
      <c r="F1838">
        <v>4</v>
      </c>
      <c r="G1838">
        <v>1</v>
      </c>
      <c r="H1838">
        <v>12</v>
      </c>
      <c r="I1838" t="s">
        <v>12</v>
      </c>
    </row>
    <row r="1839" spans="1:9">
      <c r="A1839" t="s">
        <v>101</v>
      </c>
      <c r="B1839" t="s">
        <v>36</v>
      </c>
      <c r="C1839">
        <v>2020</v>
      </c>
      <c r="D1839" t="s">
        <v>11</v>
      </c>
      <c r="E1839">
        <v>18</v>
      </c>
      <c r="F1839">
        <v>17</v>
      </c>
      <c r="G1839">
        <v>1</v>
      </c>
      <c r="H1839">
        <v>0</v>
      </c>
      <c r="I1839" t="s">
        <v>24</v>
      </c>
    </row>
    <row r="1840" spans="1:9">
      <c r="A1840" t="s">
        <v>133</v>
      </c>
      <c r="B1840" t="s">
        <v>16</v>
      </c>
      <c r="C1840">
        <v>2020</v>
      </c>
      <c r="D1840" t="s">
        <v>11</v>
      </c>
      <c r="E1840">
        <v>17</v>
      </c>
      <c r="F1840">
        <v>19</v>
      </c>
      <c r="G1840">
        <v>-2</v>
      </c>
      <c r="H1840">
        <v>0</v>
      </c>
      <c r="I1840" t="s">
        <v>53</v>
      </c>
    </row>
    <row r="1841" spans="1:9">
      <c r="A1841" t="s">
        <v>9</v>
      </c>
      <c r="B1841" t="s">
        <v>10</v>
      </c>
      <c r="C1841">
        <v>2020</v>
      </c>
      <c r="D1841" t="s">
        <v>50</v>
      </c>
      <c r="E1841">
        <v>5</v>
      </c>
      <c r="F1841">
        <v>4</v>
      </c>
      <c r="G1841">
        <v>1</v>
      </c>
      <c r="H1841">
        <v>12</v>
      </c>
      <c r="I1841" t="s">
        <v>12</v>
      </c>
    </row>
    <row r="1842" spans="1:9">
      <c r="A1842" t="s">
        <v>114</v>
      </c>
      <c r="B1842" t="s">
        <v>87</v>
      </c>
      <c r="C1842">
        <v>2020</v>
      </c>
      <c r="D1842" t="s">
        <v>50</v>
      </c>
      <c r="E1842">
        <v>19</v>
      </c>
      <c r="F1842">
        <v>14</v>
      </c>
      <c r="G1842">
        <v>5</v>
      </c>
      <c r="H1842">
        <v>0</v>
      </c>
      <c r="I1842" t="s">
        <v>134</v>
      </c>
    </row>
    <row r="1843" spans="1:9">
      <c r="A1843" t="s">
        <v>100</v>
      </c>
      <c r="B1843" t="s">
        <v>27</v>
      </c>
      <c r="C1843">
        <v>2020</v>
      </c>
      <c r="D1843" t="s">
        <v>50</v>
      </c>
      <c r="E1843">
        <v>11</v>
      </c>
      <c r="F1843">
        <v>10</v>
      </c>
      <c r="G1843">
        <v>1</v>
      </c>
      <c r="H1843">
        <v>1</v>
      </c>
      <c r="I1843" t="s">
        <v>12</v>
      </c>
    </row>
    <row r="1844" spans="1:9">
      <c r="A1844" t="s">
        <v>128</v>
      </c>
      <c r="B1844" t="s">
        <v>16</v>
      </c>
      <c r="C1844">
        <v>2020</v>
      </c>
      <c r="D1844" t="s">
        <v>50</v>
      </c>
      <c r="E1844">
        <v>15</v>
      </c>
      <c r="F1844">
        <v>16</v>
      </c>
      <c r="G1844">
        <v>-1</v>
      </c>
      <c r="H1844">
        <v>0</v>
      </c>
      <c r="I1844" t="s">
        <v>47</v>
      </c>
    </row>
    <row r="1845" spans="1:9">
      <c r="A1845" t="s">
        <v>17</v>
      </c>
      <c r="B1845" t="s">
        <v>129</v>
      </c>
      <c r="C1845">
        <v>2020</v>
      </c>
      <c r="D1845" t="s">
        <v>50</v>
      </c>
      <c r="E1845">
        <v>6</v>
      </c>
      <c r="F1845">
        <v>6</v>
      </c>
      <c r="G1845">
        <v>0</v>
      </c>
      <c r="H1845">
        <v>8</v>
      </c>
      <c r="I1845" t="s">
        <v>12</v>
      </c>
    </row>
    <row r="1846" spans="1:9">
      <c r="A1846" t="s">
        <v>46</v>
      </c>
      <c r="B1846" t="s">
        <v>130</v>
      </c>
      <c r="C1846">
        <v>2020</v>
      </c>
      <c r="D1846" t="s">
        <v>50</v>
      </c>
      <c r="E1846">
        <v>10</v>
      </c>
      <c r="F1846">
        <v>19</v>
      </c>
      <c r="G1846">
        <v>-9</v>
      </c>
      <c r="H1846">
        <v>0</v>
      </c>
      <c r="I1846" t="s">
        <v>70</v>
      </c>
    </row>
    <row r="1847" spans="1:9">
      <c r="A1847" t="s">
        <v>20</v>
      </c>
      <c r="B1847" t="s">
        <v>10</v>
      </c>
      <c r="C1847">
        <v>2020</v>
      </c>
      <c r="D1847" t="s">
        <v>50</v>
      </c>
      <c r="E1847">
        <v>1</v>
      </c>
      <c r="F1847">
        <v>1</v>
      </c>
      <c r="G1847">
        <v>0</v>
      </c>
      <c r="H1847">
        <v>25</v>
      </c>
      <c r="I1847" t="s">
        <v>12</v>
      </c>
    </row>
    <row r="1848" spans="1:9">
      <c r="A1848" t="s">
        <v>23</v>
      </c>
      <c r="B1848" t="s">
        <v>16</v>
      </c>
      <c r="C1848">
        <v>2020</v>
      </c>
      <c r="D1848" t="s">
        <v>50</v>
      </c>
      <c r="E1848">
        <v>16</v>
      </c>
      <c r="F1848">
        <v>17</v>
      </c>
      <c r="G1848">
        <v>-1</v>
      </c>
      <c r="H1848">
        <v>0</v>
      </c>
      <c r="I1848" t="s">
        <v>47</v>
      </c>
    </row>
    <row r="1849" spans="1:9">
      <c r="A1849" t="s">
        <v>131</v>
      </c>
      <c r="B1849" t="s">
        <v>86</v>
      </c>
      <c r="C1849">
        <v>2020</v>
      </c>
      <c r="D1849" t="s">
        <v>50</v>
      </c>
      <c r="E1849">
        <v>13</v>
      </c>
      <c r="F1849">
        <v>12</v>
      </c>
      <c r="G1849">
        <v>1</v>
      </c>
      <c r="H1849">
        <v>0</v>
      </c>
      <c r="I1849" t="s">
        <v>110</v>
      </c>
    </row>
    <row r="1850" spans="1:9">
      <c r="A1850" t="s">
        <v>25</v>
      </c>
      <c r="B1850" t="s">
        <v>18</v>
      </c>
      <c r="C1850">
        <v>2020</v>
      </c>
      <c r="D1850" t="s">
        <v>50</v>
      </c>
      <c r="E1850">
        <v>2</v>
      </c>
      <c r="F1850">
        <v>20</v>
      </c>
      <c r="G1850">
        <v>-18</v>
      </c>
      <c r="H1850">
        <v>0</v>
      </c>
      <c r="I1850" t="s">
        <v>135</v>
      </c>
    </row>
    <row r="1851" spans="1:9">
      <c r="A1851" t="s">
        <v>26</v>
      </c>
      <c r="B1851" t="s">
        <v>33</v>
      </c>
      <c r="C1851">
        <v>2020</v>
      </c>
      <c r="D1851" t="s">
        <v>50</v>
      </c>
      <c r="E1851">
        <v>8</v>
      </c>
      <c r="F1851">
        <v>5</v>
      </c>
      <c r="G1851">
        <v>3</v>
      </c>
      <c r="H1851">
        <v>10</v>
      </c>
      <c r="I1851" t="s">
        <v>12</v>
      </c>
    </row>
    <row r="1852" spans="1:9">
      <c r="A1852" t="s">
        <v>48</v>
      </c>
      <c r="B1852" t="s">
        <v>130</v>
      </c>
      <c r="C1852">
        <v>2020</v>
      </c>
      <c r="D1852" t="s">
        <v>50</v>
      </c>
      <c r="E1852">
        <v>14</v>
      </c>
      <c r="F1852">
        <v>8</v>
      </c>
      <c r="G1852">
        <v>6</v>
      </c>
      <c r="H1852">
        <v>4</v>
      </c>
      <c r="I1852" t="s">
        <v>12</v>
      </c>
    </row>
    <row r="1853" spans="1:9">
      <c r="A1853" t="s">
        <v>28</v>
      </c>
      <c r="B1853" t="s">
        <v>129</v>
      </c>
      <c r="C1853">
        <v>2020</v>
      </c>
      <c r="D1853" t="s">
        <v>50</v>
      </c>
      <c r="E1853">
        <v>9</v>
      </c>
      <c r="F1853">
        <v>18</v>
      </c>
      <c r="G1853">
        <v>-9</v>
      </c>
      <c r="H1853">
        <v>0</v>
      </c>
      <c r="I1853" t="s">
        <v>42</v>
      </c>
    </row>
    <row r="1854" spans="1:9">
      <c r="A1854" t="s">
        <v>115</v>
      </c>
      <c r="B1854" t="s">
        <v>87</v>
      </c>
      <c r="C1854">
        <v>2020</v>
      </c>
      <c r="D1854" t="s">
        <v>50</v>
      </c>
      <c r="E1854">
        <v>18</v>
      </c>
      <c r="F1854">
        <v>9</v>
      </c>
      <c r="G1854">
        <v>9</v>
      </c>
      <c r="H1854">
        <v>2</v>
      </c>
      <c r="I1854" t="s">
        <v>12</v>
      </c>
    </row>
    <row r="1855" spans="1:9">
      <c r="A1855" t="s">
        <v>29</v>
      </c>
      <c r="B1855" t="s">
        <v>86</v>
      </c>
      <c r="C1855">
        <v>2020</v>
      </c>
      <c r="D1855" t="s">
        <v>50</v>
      </c>
      <c r="E1855">
        <v>12</v>
      </c>
      <c r="F1855">
        <v>7</v>
      </c>
      <c r="G1855">
        <v>5</v>
      </c>
      <c r="H1855">
        <v>6</v>
      </c>
      <c r="I1855" t="s">
        <v>12</v>
      </c>
    </row>
    <row r="1856" spans="1:9">
      <c r="A1856" t="s">
        <v>31</v>
      </c>
      <c r="B1856" t="s">
        <v>27</v>
      </c>
      <c r="C1856">
        <v>2020</v>
      </c>
      <c r="D1856" t="s">
        <v>50</v>
      </c>
      <c r="E1856">
        <v>7</v>
      </c>
      <c r="F1856">
        <v>2</v>
      </c>
      <c r="G1856">
        <v>5</v>
      </c>
      <c r="H1856">
        <v>18</v>
      </c>
      <c r="I1856" t="s">
        <v>12</v>
      </c>
    </row>
    <row r="1857" spans="1:9">
      <c r="A1857" t="s">
        <v>32</v>
      </c>
      <c r="B1857" t="s">
        <v>33</v>
      </c>
      <c r="C1857">
        <v>2020</v>
      </c>
      <c r="D1857" t="s">
        <v>50</v>
      </c>
      <c r="E1857">
        <v>3</v>
      </c>
      <c r="F1857">
        <v>3</v>
      </c>
      <c r="G1857">
        <v>0</v>
      </c>
      <c r="H1857">
        <v>16</v>
      </c>
      <c r="I1857" t="s">
        <v>12</v>
      </c>
    </row>
    <row r="1858" spans="1:9">
      <c r="A1858" t="s">
        <v>34</v>
      </c>
      <c r="B1858" t="s">
        <v>36</v>
      </c>
      <c r="C1858">
        <v>2020</v>
      </c>
      <c r="D1858" t="s">
        <v>50</v>
      </c>
      <c r="E1858">
        <v>17</v>
      </c>
      <c r="F1858">
        <v>15</v>
      </c>
      <c r="G1858">
        <v>2</v>
      </c>
      <c r="H1858">
        <v>0</v>
      </c>
      <c r="I1858" t="s">
        <v>104</v>
      </c>
    </row>
    <row r="1859" spans="1:9">
      <c r="A1859" t="s">
        <v>35</v>
      </c>
      <c r="B1859" t="s">
        <v>18</v>
      </c>
      <c r="C1859">
        <v>2020</v>
      </c>
      <c r="D1859" t="s">
        <v>50</v>
      </c>
      <c r="E1859">
        <v>4</v>
      </c>
      <c r="F1859">
        <v>13</v>
      </c>
      <c r="G1859">
        <v>-9</v>
      </c>
      <c r="H1859">
        <v>0</v>
      </c>
      <c r="I1859" t="s">
        <v>135</v>
      </c>
    </row>
    <row r="1860" spans="1:9">
      <c r="A1860" t="s">
        <v>101</v>
      </c>
      <c r="B1860" t="s">
        <v>36</v>
      </c>
      <c r="C1860">
        <v>2020</v>
      </c>
      <c r="D1860" t="s">
        <v>50</v>
      </c>
      <c r="E1860">
        <v>20</v>
      </c>
      <c r="F1860">
        <v>11</v>
      </c>
      <c r="G1860">
        <v>9</v>
      </c>
      <c r="H1860">
        <v>0</v>
      </c>
      <c r="I1860" t="s">
        <v>12</v>
      </c>
    </row>
    <row r="1861" spans="1:9">
      <c r="A1861" t="s">
        <v>9</v>
      </c>
      <c r="B1861" t="s">
        <v>10</v>
      </c>
      <c r="C1861">
        <v>2020</v>
      </c>
      <c r="D1861" t="s">
        <v>57</v>
      </c>
      <c r="E1861">
        <v>1</v>
      </c>
      <c r="F1861">
        <v>1</v>
      </c>
      <c r="G1861">
        <v>0</v>
      </c>
      <c r="H1861">
        <v>25</v>
      </c>
      <c r="I1861" t="s">
        <v>12</v>
      </c>
    </row>
    <row r="1862" spans="1:9">
      <c r="A1862" t="s">
        <v>114</v>
      </c>
      <c r="B1862" t="s">
        <v>87</v>
      </c>
      <c r="C1862">
        <v>2020</v>
      </c>
      <c r="D1862" t="s">
        <v>57</v>
      </c>
      <c r="E1862">
        <v>17</v>
      </c>
      <c r="F1862">
        <v>15</v>
      </c>
      <c r="G1862">
        <v>2</v>
      </c>
      <c r="H1862">
        <v>0</v>
      </c>
      <c r="I1862" t="s">
        <v>24</v>
      </c>
    </row>
    <row r="1863" spans="1:9">
      <c r="A1863" t="s">
        <v>100</v>
      </c>
      <c r="B1863" t="s">
        <v>27</v>
      </c>
      <c r="C1863">
        <v>2020</v>
      </c>
      <c r="D1863" t="s">
        <v>57</v>
      </c>
      <c r="E1863">
        <v>11</v>
      </c>
      <c r="F1863">
        <v>13</v>
      </c>
      <c r="G1863">
        <v>-2</v>
      </c>
      <c r="H1863">
        <v>0</v>
      </c>
      <c r="I1863" t="s">
        <v>24</v>
      </c>
    </row>
    <row r="1864" spans="1:9">
      <c r="A1864" t="s">
        <v>128</v>
      </c>
      <c r="B1864" t="s">
        <v>16</v>
      </c>
      <c r="C1864">
        <v>2020</v>
      </c>
      <c r="D1864" t="s">
        <v>57</v>
      </c>
      <c r="E1864">
        <v>19</v>
      </c>
      <c r="F1864">
        <v>20</v>
      </c>
      <c r="G1864">
        <v>-1</v>
      </c>
      <c r="H1864">
        <v>0</v>
      </c>
      <c r="I1864" t="s">
        <v>19</v>
      </c>
    </row>
    <row r="1865" spans="1:9">
      <c r="A1865" t="s">
        <v>17</v>
      </c>
      <c r="B1865" t="s">
        <v>129</v>
      </c>
      <c r="C1865">
        <v>2020</v>
      </c>
      <c r="D1865" t="s">
        <v>57</v>
      </c>
      <c r="E1865">
        <v>5</v>
      </c>
      <c r="F1865">
        <v>18</v>
      </c>
      <c r="G1865">
        <v>-13</v>
      </c>
      <c r="H1865">
        <v>0</v>
      </c>
      <c r="I1865" t="s">
        <v>42</v>
      </c>
    </row>
    <row r="1866" spans="1:9">
      <c r="A1866" t="s">
        <v>46</v>
      </c>
      <c r="B1866" t="s">
        <v>130</v>
      </c>
      <c r="C1866">
        <v>2020</v>
      </c>
      <c r="D1866" t="s">
        <v>57</v>
      </c>
      <c r="E1866">
        <v>6</v>
      </c>
      <c r="F1866">
        <v>7</v>
      </c>
      <c r="G1866">
        <v>-1</v>
      </c>
      <c r="H1866">
        <v>6</v>
      </c>
      <c r="I1866" t="s">
        <v>12</v>
      </c>
    </row>
    <row r="1867" spans="1:9">
      <c r="A1867" t="s">
        <v>20</v>
      </c>
      <c r="B1867" t="s">
        <v>10</v>
      </c>
      <c r="C1867">
        <v>2020</v>
      </c>
      <c r="D1867" t="s">
        <v>57</v>
      </c>
      <c r="E1867">
        <v>2</v>
      </c>
      <c r="F1867">
        <v>8</v>
      </c>
      <c r="G1867">
        <v>-6</v>
      </c>
      <c r="H1867">
        <v>4</v>
      </c>
      <c r="I1867" t="s">
        <v>12</v>
      </c>
    </row>
    <row r="1868" spans="1:9">
      <c r="A1868" t="s">
        <v>23</v>
      </c>
      <c r="B1868" t="s">
        <v>16</v>
      </c>
      <c r="C1868">
        <v>2020</v>
      </c>
      <c r="D1868" t="s">
        <v>57</v>
      </c>
      <c r="E1868">
        <v>18</v>
      </c>
      <c r="F1868">
        <v>17</v>
      </c>
      <c r="G1868">
        <v>1</v>
      </c>
      <c r="H1868">
        <v>0</v>
      </c>
      <c r="I1868" t="s">
        <v>24</v>
      </c>
    </row>
    <row r="1869" spans="1:9">
      <c r="A1869" t="s">
        <v>131</v>
      </c>
      <c r="B1869" t="s">
        <v>86</v>
      </c>
      <c r="C1869">
        <v>2020</v>
      </c>
      <c r="D1869" t="s">
        <v>57</v>
      </c>
      <c r="E1869">
        <v>10</v>
      </c>
      <c r="F1869">
        <v>11</v>
      </c>
      <c r="G1869">
        <v>-1</v>
      </c>
      <c r="H1869">
        <v>0</v>
      </c>
      <c r="I1869" t="s">
        <v>24</v>
      </c>
    </row>
    <row r="1870" spans="1:9">
      <c r="A1870" t="s">
        <v>25</v>
      </c>
      <c r="B1870" t="s">
        <v>18</v>
      </c>
      <c r="C1870">
        <v>2020</v>
      </c>
      <c r="D1870" t="s">
        <v>57</v>
      </c>
      <c r="E1870">
        <v>3</v>
      </c>
      <c r="F1870">
        <v>2</v>
      </c>
      <c r="G1870">
        <v>1</v>
      </c>
      <c r="H1870">
        <v>19</v>
      </c>
      <c r="I1870" t="s">
        <v>12</v>
      </c>
    </row>
    <row r="1871" spans="1:9">
      <c r="A1871" t="s">
        <v>26</v>
      </c>
      <c r="B1871" t="s">
        <v>33</v>
      </c>
      <c r="C1871">
        <v>2020</v>
      </c>
      <c r="D1871" t="s">
        <v>57</v>
      </c>
      <c r="E1871">
        <v>15</v>
      </c>
      <c r="F1871">
        <v>5</v>
      </c>
      <c r="G1871">
        <v>10</v>
      </c>
      <c r="H1871">
        <v>10</v>
      </c>
      <c r="I1871" t="s">
        <v>12</v>
      </c>
    </row>
    <row r="1872" spans="1:9">
      <c r="A1872" t="s">
        <v>48</v>
      </c>
      <c r="B1872" t="s">
        <v>130</v>
      </c>
      <c r="C1872">
        <v>2020</v>
      </c>
      <c r="D1872" t="s">
        <v>57</v>
      </c>
      <c r="E1872">
        <v>7</v>
      </c>
      <c r="F1872">
        <v>9</v>
      </c>
      <c r="G1872">
        <v>-2</v>
      </c>
      <c r="H1872">
        <v>2</v>
      </c>
      <c r="I1872" t="s">
        <v>12</v>
      </c>
    </row>
    <row r="1873" spans="1:9">
      <c r="A1873" t="s">
        <v>28</v>
      </c>
      <c r="B1873" t="s">
        <v>129</v>
      </c>
      <c r="C1873">
        <v>2020</v>
      </c>
      <c r="D1873" t="s">
        <v>57</v>
      </c>
      <c r="E1873">
        <v>13</v>
      </c>
      <c r="F1873">
        <v>19</v>
      </c>
      <c r="G1873">
        <v>-6</v>
      </c>
      <c r="H1873">
        <v>0</v>
      </c>
      <c r="I1873" t="s">
        <v>19</v>
      </c>
    </row>
    <row r="1874" spans="1:9">
      <c r="A1874" t="s">
        <v>115</v>
      </c>
      <c r="B1874" t="s">
        <v>87</v>
      </c>
      <c r="C1874">
        <v>2020</v>
      </c>
      <c r="D1874" t="s">
        <v>57</v>
      </c>
      <c r="E1874">
        <v>16</v>
      </c>
      <c r="F1874">
        <v>16</v>
      </c>
      <c r="G1874">
        <v>0</v>
      </c>
      <c r="H1874">
        <v>0</v>
      </c>
      <c r="I1874" t="s">
        <v>24</v>
      </c>
    </row>
    <row r="1875" spans="1:9">
      <c r="A1875" t="s">
        <v>29</v>
      </c>
      <c r="B1875" t="s">
        <v>86</v>
      </c>
      <c r="C1875">
        <v>2020</v>
      </c>
      <c r="D1875" t="s">
        <v>57</v>
      </c>
      <c r="E1875">
        <v>8</v>
      </c>
      <c r="F1875">
        <v>6</v>
      </c>
      <c r="G1875">
        <v>2</v>
      </c>
      <c r="H1875">
        <v>8</v>
      </c>
      <c r="I1875" t="s">
        <v>12</v>
      </c>
    </row>
    <row r="1876" spans="1:9">
      <c r="A1876" t="s">
        <v>31</v>
      </c>
      <c r="B1876" t="s">
        <v>27</v>
      </c>
      <c r="C1876">
        <v>2020</v>
      </c>
      <c r="D1876" t="s">
        <v>57</v>
      </c>
      <c r="E1876">
        <v>12</v>
      </c>
      <c r="F1876">
        <v>10</v>
      </c>
      <c r="G1876">
        <v>2</v>
      </c>
      <c r="H1876">
        <v>1</v>
      </c>
      <c r="I1876" t="s">
        <v>24</v>
      </c>
    </row>
    <row r="1877" spans="1:9">
      <c r="A1877" t="s">
        <v>32</v>
      </c>
      <c r="B1877" t="s">
        <v>33</v>
      </c>
      <c r="C1877">
        <v>2020</v>
      </c>
      <c r="D1877" t="s">
        <v>57</v>
      </c>
      <c r="E1877">
        <v>9</v>
      </c>
      <c r="F1877">
        <v>4</v>
      </c>
      <c r="G1877">
        <v>5</v>
      </c>
      <c r="H1877">
        <v>12</v>
      </c>
      <c r="I1877" t="s">
        <v>12</v>
      </c>
    </row>
    <row r="1878" spans="1:9">
      <c r="A1878" t="s">
        <v>34</v>
      </c>
      <c r="B1878" t="s">
        <v>36</v>
      </c>
      <c r="C1878">
        <v>2020</v>
      </c>
      <c r="D1878" t="s">
        <v>57</v>
      </c>
      <c r="E1878">
        <v>14</v>
      </c>
      <c r="F1878">
        <v>12</v>
      </c>
      <c r="G1878">
        <v>2</v>
      </c>
      <c r="H1878">
        <v>0</v>
      </c>
      <c r="I1878" t="s">
        <v>24</v>
      </c>
    </row>
    <row r="1879" spans="1:9">
      <c r="A1879" t="s">
        <v>35</v>
      </c>
      <c r="B1879" t="s">
        <v>18</v>
      </c>
      <c r="C1879">
        <v>2020</v>
      </c>
      <c r="D1879" t="s">
        <v>57</v>
      </c>
      <c r="E1879">
        <v>4</v>
      </c>
      <c r="F1879">
        <v>3</v>
      </c>
      <c r="G1879">
        <v>1</v>
      </c>
      <c r="H1879">
        <v>15</v>
      </c>
      <c r="I1879" t="s">
        <v>12</v>
      </c>
    </row>
    <row r="1880" spans="1:9">
      <c r="A1880" t="s">
        <v>101</v>
      </c>
      <c r="B1880" t="s">
        <v>36</v>
      </c>
      <c r="C1880">
        <v>2020</v>
      </c>
      <c r="D1880" t="s">
        <v>57</v>
      </c>
      <c r="E1880">
        <v>20</v>
      </c>
      <c r="F1880">
        <v>14</v>
      </c>
      <c r="G1880">
        <v>6</v>
      </c>
      <c r="H1880">
        <v>0</v>
      </c>
      <c r="I1880" t="s">
        <v>24</v>
      </c>
    </row>
    <row r="1881" spans="1:9">
      <c r="A1881" t="s">
        <v>9</v>
      </c>
      <c r="B1881" t="s">
        <v>10</v>
      </c>
      <c r="C1881">
        <v>2020</v>
      </c>
      <c r="D1881" t="s">
        <v>58</v>
      </c>
      <c r="E1881">
        <v>1</v>
      </c>
      <c r="F1881">
        <v>1</v>
      </c>
      <c r="G1881">
        <v>0</v>
      </c>
      <c r="H1881">
        <v>25</v>
      </c>
      <c r="I1881" t="s">
        <v>12</v>
      </c>
    </row>
    <row r="1882" spans="1:9">
      <c r="A1882" t="s">
        <v>114</v>
      </c>
      <c r="B1882" t="s">
        <v>87</v>
      </c>
      <c r="C1882">
        <v>2020</v>
      </c>
      <c r="D1882" t="s">
        <v>58</v>
      </c>
      <c r="E1882">
        <v>16</v>
      </c>
      <c r="F1882">
        <v>12</v>
      </c>
      <c r="G1882">
        <v>4</v>
      </c>
      <c r="H1882">
        <v>0</v>
      </c>
      <c r="I1882" t="s">
        <v>12</v>
      </c>
    </row>
    <row r="1883" spans="1:9">
      <c r="A1883" t="s">
        <v>100</v>
      </c>
      <c r="B1883" t="s">
        <v>27</v>
      </c>
      <c r="C1883">
        <v>2020</v>
      </c>
      <c r="D1883" t="s">
        <v>58</v>
      </c>
      <c r="E1883">
        <v>14</v>
      </c>
      <c r="F1883">
        <v>13</v>
      </c>
      <c r="G1883">
        <v>1</v>
      </c>
      <c r="H1883">
        <v>0</v>
      </c>
      <c r="I1883" t="s">
        <v>12</v>
      </c>
    </row>
    <row r="1884" spans="1:9">
      <c r="A1884" t="s">
        <v>128</v>
      </c>
      <c r="B1884" t="s">
        <v>16</v>
      </c>
      <c r="C1884">
        <v>2020</v>
      </c>
      <c r="D1884" t="s">
        <v>58</v>
      </c>
      <c r="E1884">
        <v>17</v>
      </c>
      <c r="F1884">
        <v>15</v>
      </c>
      <c r="G1884">
        <v>2</v>
      </c>
      <c r="H1884">
        <v>0</v>
      </c>
      <c r="I1884" t="s">
        <v>12</v>
      </c>
    </row>
    <row r="1885" spans="1:9">
      <c r="A1885" t="s">
        <v>17</v>
      </c>
      <c r="B1885" t="s">
        <v>129</v>
      </c>
      <c r="C1885">
        <v>2020</v>
      </c>
      <c r="D1885" t="s">
        <v>58</v>
      </c>
      <c r="E1885">
        <v>8</v>
      </c>
      <c r="F1885">
        <v>10</v>
      </c>
      <c r="G1885">
        <v>-2</v>
      </c>
      <c r="H1885">
        <v>1</v>
      </c>
      <c r="I1885" t="s">
        <v>12</v>
      </c>
    </row>
    <row r="1886" spans="1:9">
      <c r="A1886" t="s">
        <v>46</v>
      </c>
      <c r="B1886" t="s">
        <v>130</v>
      </c>
      <c r="C1886">
        <v>2020</v>
      </c>
      <c r="D1886" t="s">
        <v>58</v>
      </c>
      <c r="E1886">
        <v>4</v>
      </c>
      <c r="F1886">
        <v>4</v>
      </c>
      <c r="G1886">
        <v>0</v>
      </c>
      <c r="H1886">
        <v>13</v>
      </c>
      <c r="I1886" t="s">
        <v>12</v>
      </c>
    </row>
    <row r="1887" spans="1:9">
      <c r="A1887" t="s">
        <v>20</v>
      </c>
      <c r="B1887" t="s">
        <v>10</v>
      </c>
      <c r="C1887">
        <v>2020</v>
      </c>
      <c r="D1887" t="s">
        <v>58</v>
      </c>
      <c r="E1887">
        <v>2</v>
      </c>
      <c r="F1887">
        <v>2</v>
      </c>
      <c r="G1887">
        <v>0</v>
      </c>
      <c r="H1887">
        <v>18</v>
      </c>
      <c r="I1887" t="s">
        <v>12</v>
      </c>
    </row>
    <row r="1888" spans="1:9">
      <c r="A1888" t="s">
        <v>23</v>
      </c>
      <c r="B1888" t="s">
        <v>16</v>
      </c>
      <c r="C1888">
        <v>2020</v>
      </c>
      <c r="D1888" t="s">
        <v>58</v>
      </c>
      <c r="E1888">
        <v>20</v>
      </c>
      <c r="F1888">
        <v>17</v>
      </c>
      <c r="G1888">
        <v>3</v>
      </c>
      <c r="H1888">
        <v>0</v>
      </c>
      <c r="I1888" t="s">
        <v>12</v>
      </c>
    </row>
    <row r="1889" spans="1:9">
      <c r="A1889" t="s">
        <v>131</v>
      </c>
      <c r="B1889" t="s">
        <v>86</v>
      </c>
      <c r="C1889">
        <v>2020</v>
      </c>
      <c r="D1889" t="s">
        <v>58</v>
      </c>
      <c r="E1889">
        <v>11</v>
      </c>
      <c r="F1889">
        <v>11</v>
      </c>
      <c r="G1889">
        <v>0</v>
      </c>
      <c r="H1889">
        <v>0</v>
      </c>
      <c r="I1889" t="s">
        <v>12</v>
      </c>
    </row>
    <row r="1890" spans="1:9">
      <c r="A1890" t="s">
        <v>25</v>
      </c>
      <c r="B1890" t="s">
        <v>18</v>
      </c>
      <c r="C1890">
        <v>2020</v>
      </c>
      <c r="D1890" t="s">
        <v>58</v>
      </c>
      <c r="E1890">
        <v>3</v>
      </c>
      <c r="F1890">
        <v>3</v>
      </c>
      <c r="G1890">
        <v>0</v>
      </c>
      <c r="H1890">
        <v>15</v>
      </c>
      <c r="I1890" t="s">
        <v>12</v>
      </c>
    </row>
    <row r="1891" spans="1:9">
      <c r="A1891" t="s">
        <v>26</v>
      </c>
      <c r="B1891" t="s">
        <v>33</v>
      </c>
      <c r="C1891">
        <v>2020</v>
      </c>
      <c r="D1891" t="s">
        <v>58</v>
      </c>
      <c r="E1891">
        <v>7</v>
      </c>
      <c r="F1891">
        <v>20</v>
      </c>
      <c r="G1891">
        <v>-13</v>
      </c>
      <c r="H1891">
        <v>0</v>
      </c>
      <c r="I1891" t="s">
        <v>136</v>
      </c>
    </row>
    <row r="1892" spans="1:9">
      <c r="A1892" t="s">
        <v>48</v>
      </c>
      <c r="B1892" t="s">
        <v>130</v>
      </c>
      <c r="C1892">
        <v>2020</v>
      </c>
      <c r="D1892" t="s">
        <v>58</v>
      </c>
      <c r="E1892">
        <v>6</v>
      </c>
      <c r="F1892">
        <v>5</v>
      </c>
      <c r="G1892">
        <v>1</v>
      </c>
      <c r="H1892">
        <v>10</v>
      </c>
      <c r="I1892" t="s">
        <v>12</v>
      </c>
    </row>
    <row r="1893" spans="1:9">
      <c r="A1893" t="s">
        <v>28</v>
      </c>
      <c r="B1893" t="s">
        <v>129</v>
      </c>
      <c r="C1893">
        <v>2020</v>
      </c>
      <c r="D1893" t="s">
        <v>58</v>
      </c>
      <c r="E1893">
        <v>9</v>
      </c>
      <c r="F1893">
        <v>9</v>
      </c>
      <c r="G1893">
        <v>0</v>
      </c>
      <c r="H1893">
        <v>2</v>
      </c>
      <c r="I1893" t="s">
        <v>12</v>
      </c>
    </row>
    <row r="1894" spans="1:9">
      <c r="A1894" t="s">
        <v>115</v>
      </c>
      <c r="B1894" t="s">
        <v>87</v>
      </c>
      <c r="C1894">
        <v>2020</v>
      </c>
      <c r="D1894" t="s">
        <v>58</v>
      </c>
      <c r="E1894">
        <v>18</v>
      </c>
      <c r="F1894">
        <v>18</v>
      </c>
      <c r="G1894">
        <v>0</v>
      </c>
      <c r="H1894">
        <v>0</v>
      </c>
      <c r="I1894" t="s">
        <v>49</v>
      </c>
    </row>
    <row r="1895" spans="1:9">
      <c r="A1895" t="s">
        <v>29</v>
      </c>
      <c r="B1895" t="s">
        <v>86</v>
      </c>
      <c r="C1895">
        <v>2020</v>
      </c>
      <c r="D1895" t="s">
        <v>58</v>
      </c>
      <c r="E1895">
        <v>12</v>
      </c>
      <c r="F1895">
        <v>8</v>
      </c>
      <c r="G1895">
        <v>4</v>
      </c>
      <c r="H1895">
        <v>4</v>
      </c>
      <c r="I1895" t="s">
        <v>12</v>
      </c>
    </row>
    <row r="1896" spans="1:9">
      <c r="A1896" t="s">
        <v>31</v>
      </c>
      <c r="B1896" t="s">
        <v>27</v>
      </c>
      <c r="C1896">
        <v>2020</v>
      </c>
      <c r="D1896" t="s">
        <v>58</v>
      </c>
      <c r="E1896">
        <v>13</v>
      </c>
      <c r="F1896">
        <v>14</v>
      </c>
      <c r="G1896">
        <v>-1</v>
      </c>
      <c r="H1896">
        <v>0</v>
      </c>
      <c r="I1896" t="s">
        <v>12</v>
      </c>
    </row>
    <row r="1897" spans="1:9">
      <c r="A1897" t="s">
        <v>32</v>
      </c>
      <c r="B1897" t="s">
        <v>33</v>
      </c>
      <c r="C1897">
        <v>2020</v>
      </c>
      <c r="D1897" t="s">
        <v>58</v>
      </c>
      <c r="E1897">
        <v>10</v>
      </c>
      <c r="F1897">
        <v>7</v>
      </c>
      <c r="G1897">
        <v>3</v>
      </c>
      <c r="H1897">
        <v>6</v>
      </c>
      <c r="I1897" t="s">
        <v>12</v>
      </c>
    </row>
    <row r="1898" spans="1:9">
      <c r="A1898" t="s">
        <v>34</v>
      </c>
      <c r="B1898" t="s">
        <v>36</v>
      </c>
      <c r="C1898">
        <v>2020</v>
      </c>
      <c r="D1898" t="s">
        <v>58</v>
      </c>
      <c r="E1898">
        <v>15</v>
      </c>
      <c r="F1898">
        <v>19</v>
      </c>
      <c r="G1898">
        <v>-4</v>
      </c>
      <c r="H1898">
        <v>0</v>
      </c>
      <c r="I1898" t="s">
        <v>137</v>
      </c>
    </row>
    <row r="1899" spans="1:9">
      <c r="A1899" t="s">
        <v>35</v>
      </c>
      <c r="B1899" t="s">
        <v>18</v>
      </c>
      <c r="C1899">
        <v>2020</v>
      </c>
      <c r="D1899" t="s">
        <v>58</v>
      </c>
      <c r="E1899">
        <v>5</v>
      </c>
      <c r="F1899">
        <v>6</v>
      </c>
      <c r="G1899">
        <v>-1</v>
      </c>
      <c r="H1899">
        <v>8</v>
      </c>
      <c r="I1899" t="s">
        <v>12</v>
      </c>
    </row>
    <row r="1900" spans="1:9">
      <c r="A1900" t="s">
        <v>101</v>
      </c>
      <c r="B1900" t="s">
        <v>36</v>
      </c>
      <c r="C1900">
        <v>2020</v>
      </c>
      <c r="D1900" t="s">
        <v>58</v>
      </c>
      <c r="E1900">
        <v>19</v>
      </c>
      <c r="F1900">
        <v>16</v>
      </c>
      <c r="G1900">
        <v>3</v>
      </c>
      <c r="H1900">
        <v>0</v>
      </c>
      <c r="I1900" t="s">
        <v>12</v>
      </c>
    </row>
    <row r="1901" spans="1:9">
      <c r="A1901" t="s">
        <v>9</v>
      </c>
      <c r="B1901" t="s">
        <v>10</v>
      </c>
      <c r="C1901">
        <v>2020</v>
      </c>
      <c r="D1901" t="s">
        <v>60</v>
      </c>
      <c r="E1901">
        <v>1</v>
      </c>
      <c r="F1901">
        <v>1</v>
      </c>
      <c r="G1901">
        <v>0</v>
      </c>
      <c r="H1901">
        <v>25</v>
      </c>
      <c r="I1901" t="s">
        <v>12</v>
      </c>
    </row>
    <row r="1902" spans="1:9">
      <c r="A1902" t="s">
        <v>114</v>
      </c>
      <c r="B1902" t="s">
        <v>87</v>
      </c>
      <c r="C1902">
        <v>2020</v>
      </c>
      <c r="D1902" t="s">
        <v>60</v>
      </c>
      <c r="E1902">
        <v>16</v>
      </c>
      <c r="F1902">
        <v>17</v>
      </c>
      <c r="G1902">
        <v>-1</v>
      </c>
      <c r="H1902">
        <v>0</v>
      </c>
      <c r="I1902" t="s">
        <v>24</v>
      </c>
    </row>
    <row r="1903" spans="1:9">
      <c r="A1903" t="s">
        <v>100</v>
      </c>
      <c r="B1903" t="s">
        <v>27</v>
      </c>
      <c r="C1903">
        <v>2020</v>
      </c>
      <c r="D1903" t="s">
        <v>60</v>
      </c>
      <c r="E1903">
        <v>10</v>
      </c>
      <c r="F1903">
        <v>10</v>
      </c>
      <c r="G1903">
        <v>0</v>
      </c>
      <c r="H1903">
        <v>1</v>
      </c>
      <c r="I1903" t="s">
        <v>12</v>
      </c>
    </row>
    <row r="1904" spans="1:9">
      <c r="A1904" t="s">
        <v>128</v>
      </c>
      <c r="B1904" t="s">
        <v>16</v>
      </c>
      <c r="C1904">
        <v>2020</v>
      </c>
      <c r="D1904" t="s">
        <v>60</v>
      </c>
      <c r="E1904">
        <v>17</v>
      </c>
      <c r="F1904">
        <v>16</v>
      </c>
      <c r="G1904">
        <v>1</v>
      </c>
      <c r="H1904">
        <v>0</v>
      </c>
      <c r="I1904" t="s">
        <v>12</v>
      </c>
    </row>
    <row r="1905" spans="1:9">
      <c r="A1905" t="s">
        <v>15</v>
      </c>
      <c r="B1905" t="s">
        <v>129</v>
      </c>
      <c r="C1905">
        <v>2020</v>
      </c>
      <c r="D1905" t="s">
        <v>60</v>
      </c>
      <c r="E1905">
        <v>13</v>
      </c>
      <c r="F1905">
        <v>20</v>
      </c>
      <c r="G1905">
        <v>-7</v>
      </c>
      <c r="H1905">
        <v>0</v>
      </c>
      <c r="I1905" t="s">
        <v>81</v>
      </c>
    </row>
    <row r="1906" spans="1:9">
      <c r="A1906" t="s">
        <v>46</v>
      </c>
      <c r="B1906" t="s">
        <v>130</v>
      </c>
      <c r="C1906">
        <v>2020</v>
      </c>
      <c r="D1906" t="s">
        <v>60</v>
      </c>
      <c r="E1906">
        <v>8</v>
      </c>
      <c r="F1906">
        <v>4</v>
      </c>
      <c r="G1906">
        <v>4</v>
      </c>
      <c r="H1906">
        <v>12</v>
      </c>
      <c r="I1906" t="s">
        <v>12</v>
      </c>
    </row>
    <row r="1907" spans="1:9">
      <c r="A1907" t="s">
        <v>20</v>
      </c>
      <c r="B1907" t="s">
        <v>10</v>
      </c>
      <c r="C1907">
        <v>2020</v>
      </c>
      <c r="D1907" t="s">
        <v>60</v>
      </c>
      <c r="E1907">
        <v>2</v>
      </c>
      <c r="F1907">
        <v>11</v>
      </c>
      <c r="G1907">
        <v>-9</v>
      </c>
      <c r="H1907">
        <v>0</v>
      </c>
      <c r="I1907" t="s">
        <v>12</v>
      </c>
    </row>
    <row r="1908" spans="1:9">
      <c r="A1908" t="s">
        <v>23</v>
      </c>
      <c r="B1908" t="s">
        <v>16</v>
      </c>
      <c r="C1908">
        <v>2020</v>
      </c>
      <c r="D1908" t="s">
        <v>60</v>
      </c>
      <c r="E1908">
        <v>14</v>
      </c>
      <c r="F1908">
        <v>19</v>
      </c>
      <c r="G1908">
        <v>-5</v>
      </c>
      <c r="H1908">
        <v>0</v>
      </c>
      <c r="I1908" t="s">
        <v>19</v>
      </c>
    </row>
    <row r="1909" spans="1:9">
      <c r="A1909" t="s">
        <v>131</v>
      </c>
      <c r="B1909" t="s">
        <v>86</v>
      </c>
      <c r="C1909">
        <v>2020</v>
      </c>
      <c r="D1909" t="s">
        <v>60</v>
      </c>
      <c r="E1909">
        <v>19</v>
      </c>
      <c r="F1909">
        <v>18</v>
      </c>
      <c r="G1909">
        <v>1</v>
      </c>
      <c r="H1909">
        <v>0</v>
      </c>
      <c r="I1909" t="s">
        <v>49</v>
      </c>
    </row>
    <row r="1910" spans="1:9">
      <c r="A1910" t="s">
        <v>25</v>
      </c>
      <c r="B1910" t="s">
        <v>18</v>
      </c>
      <c r="C1910">
        <v>2020</v>
      </c>
      <c r="D1910" t="s">
        <v>60</v>
      </c>
      <c r="E1910">
        <v>3</v>
      </c>
      <c r="F1910">
        <v>2</v>
      </c>
      <c r="G1910">
        <v>1</v>
      </c>
      <c r="H1910">
        <v>19</v>
      </c>
      <c r="I1910" t="s">
        <v>12</v>
      </c>
    </row>
    <row r="1911" spans="1:9">
      <c r="A1911" t="s">
        <v>26</v>
      </c>
      <c r="B1911" t="s">
        <v>33</v>
      </c>
      <c r="C1911">
        <v>2020</v>
      </c>
      <c r="D1911" t="s">
        <v>60</v>
      </c>
      <c r="E1911">
        <v>7</v>
      </c>
      <c r="F1911">
        <v>13</v>
      </c>
      <c r="G1911">
        <v>-6</v>
      </c>
      <c r="H1911">
        <v>0</v>
      </c>
      <c r="I1911" t="s">
        <v>12</v>
      </c>
    </row>
    <row r="1912" spans="1:9">
      <c r="A1912" t="s">
        <v>48</v>
      </c>
      <c r="B1912" t="s">
        <v>130</v>
      </c>
      <c r="C1912">
        <v>2020</v>
      </c>
      <c r="D1912" t="s">
        <v>60</v>
      </c>
      <c r="E1912">
        <v>9</v>
      </c>
      <c r="F1912">
        <v>6</v>
      </c>
      <c r="G1912">
        <v>3</v>
      </c>
      <c r="H1912">
        <v>8</v>
      </c>
      <c r="I1912" t="s">
        <v>12</v>
      </c>
    </row>
    <row r="1913" spans="1:9">
      <c r="A1913" t="s">
        <v>28</v>
      </c>
      <c r="B1913" t="s">
        <v>129</v>
      </c>
      <c r="C1913">
        <v>2020</v>
      </c>
      <c r="D1913" t="s">
        <v>60</v>
      </c>
      <c r="E1913">
        <v>6</v>
      </c>
      <c r="F1913">
        <v>9</v>
      </c>
      <c r="G1913">
        <v>-3</v>
      </c>
      <c r="H1913">
        <v>2</v>
      </c>
      <c r="I1913" t="s">
        <v>12</v>
      </c>
    </row>
    <row r="1914" spans="1:9">
      <c r="A1914" t="s">
        <v>115</v>
      </c>
      <c r="B1914" t="s">
        <v>87</v>
      </c>
      <c r="C1914">
        <v>2020</v>
      </c>
      <c r="D1914" t="s">
        <v>60</v>
      </c>
      <c r="E1914">
        <v>15</v>
      </c>
      <c r="F1914">
        <v>14</v>
      </c>
      <c r="G1914">
        <v>1</v>
      </c>
      <c r="H1914">
        <v>0</v>
      </c>
      <c r="I1914" t="s">
        <v>12</v>
      </c>
    </row>
    <row r="1915" spans="1:9">
      <c r="A1915" t="s">
        <v>29</v>
      </c>
      <c r="B1915" t="s">
        <v>86</v>
      </c>
      <c r="C1915">
        <v>2020</v>
      </c>
      <c r="D1915" t="s">
        <v>60</v>
      </c>
      <c r="E1915">
        <v>11</v>
      </c>
      <c r="F1915">
        <v>7</v>
      </c>
      <c r="G1915">
        <v>4</v>
      </c>
      <c r="H1915">
        <v>6</v>
      </c>
      <c r="I1915" t="s">
        <v>12</v>
      </c>
    </row>
    <row r="1916" spans="1:9">
      <c r="A1916" t="s">
        <v>31</v>
      </c>
      <c r="B1916" t="s">
        <v>27</v>
      </c>
      <c r="C1916">
        <v>2020</v>
      </c>
      <c r="D1916" t="s">
        <v>60</v>
      </c>
      <c r="E1916">
        <v>4</v>
      </c>
      <c r="F1916">
        <v>3</v>
      </c>
      <c r="G1916">
        <v>1</v>
      </c>
      <c r="H1916">
        <v>15</v>
      </c>
      <c r="I1916" t="s">
        <v>12</v>
      </c>
    </row>
    <row r="1917" spans="1:9">
      <c r="A1917" t="s">
        <v>32</v>
      </c>
      <c r="B1917" t="s">
        <v>33</v>
      </c>
      <c r="C1917">
        <v>2020</v>
      </c>
      <c r="D1917" t="s">
        <v>60</v>
      </c>
      <c r="E1917">
        <v>5</v>
      </c>
      <c r="F1917">
        <v>5</v>
      </c>
      <c r="G1917">
        <v>0</v>
      </c>
      <c r="H1917">
        <v>10</v>
      </c>
      <c r="I1917" t="s">
        <v>12</v>
      </c>
    </row>
    <row r="1918" spans="1:9">
      <c r="A1918" t="s">
        <v>34</v>
      </c>
      <c r="B1918" t="s">
        <v>36</v>
      </c>
      <c r="C1918">
        <v>2020</v>
      </c>
      <c r="D1918" t="s">
        <v>60</v>
      </c>
      <c r="E1918">
        <v>20</v>
      </c>
      <c r="F1918">
        <v>12</v>
      </c>
      <c r="G1918">
        <v>8</v>
      </c>
      <c r="H1918">
        <v>0</v>
      </c>
      <c r="I1918" t="s">
        <v>12</v>
      </c>
    </row>
    <row r="1919" spans="1:9">
      <c r="A1919" t="s">
        <v>35</v>
      </c>
      <c r="B1919" t="s">
        <v>18</v>
      </c>
      <c r="C1919">
        <v>2020</v>
      </c>
      <c r="D1919" t="s">
        <v>60</v>
      </c>
      <c r="E1919">
        <v>12</v>
      </c>
      <c r="F1919">
        <v>8</v>
      </c>
      <c r="G1919">
        <v>4</v>
      </c>
      <c r="H1919">
        <v>4</v>
      </c>
      <c r="I1919" t="s">
        <v>12</v>
      </c>
    </row>
    <row r="1920" spans="1:9">
      <c r="A1920" t="s">
        <v>101</v>
      </c>
      <c r="B1920" t="s">
        <v>36</v>
      </c>
      <c r="C1920">
        <v>2020</v>
      </c>
      <c r="D1920" t="s">
        <v>60</v>
      </c>
      <c r="E1920">
        <v>18</v>
      </c>
      <c r="F1920">
        <v>15</v>
      </c>
      <c r="G1920">
        <v>3</v>
      </c>
      <c r="H1920">
        <v>0</v>
      </c>
      <c r="I1920" t="s">
        <v>12</v>
      </c>
    </row>
    <row r="1921" spans="1:9">
      <c r="A1921" t="s">
        <v>9</v>
      </c>
      <c r="B1921" t="s">
        <v>10</v>
      </c>
      <c r="C1921">
        <v>2020</v>
      </c>
      <c r="D1921" t="s">
        <v>138</v>
      </c>
      <c r="E1921">
        <v>2</v>
      </c>
      <c r="F1921">
        <v>1</v>
      </c>
      <c r="G1921">
        <v>1</v>
      </c>
      <c r="H1921">
        <v>25</v>
      </c>
      <c r="I1921" t="s">
        <v>12</v>
      </c>
    </row>
    <row r="1922" spans="1:9">
      <c r="A1922" t="s">
        <v>114</v>
      </c>
      <c r="B1922" t="s">
        <v>87</v>
      </c>
      <c r="C1922">
        <v>2020</v>
      </c>
      <c r="D1922" t="s">
        <v>138</v>
      </c>
      <c r="E1922">
        <v>19</v>
      </c>
      <c r="F1922">
        <v>12</v>
      </c>
      <c r="G1922">
        <v>7</v>
      </c>
      <c r="H1922">
        <v>0</v>
      </c>
      <c r="I1922" t="s">
        <v>12</v>
      </c>
    </row>
    <row r="1923" spans="1:9">
      <c r="A1923" t="s">
        <v>100</v>
      </c>
      <c r="B1923" t="s">
        <v>27</v>
      </c>
      <c r="C1923">
        <v>2020</v>
      </c>
      <c r="D1923" t="s">
        <v>138</v>
      </c>
      <c r="E1923">
        <v>11</v>
      </c>
      <c r="F1923">
        <v>11</v>
      </c>
      <c r="G1923">
        <v>0</v>
      </c>
      <c r="H1923">
        <v>0</v>
      </c>
      <c r="I1923" t="s">
        <v>12</v>
      </c>
    </row>
    <row r="1924" spans="1:9">
      <c r="A1924" t="s">
        <v>128</v>
      </c>
      <c r="B1924" t="s">
        <v>16</v>
      </c>
      <c r="C1924">
        <v>2020</v>
      </c>
      <c r="D1924" t="s">
        <v>138</v>
      </c>
      <c r="E1924">
        <v>16</v>
      </c>
      <c r="F1924">
        <v>9</v>
      </c>
      <c r="G1924">
        <v>7</v>
      </c>
      <c r="H1924">
        <v>2</v>
      </c>
      <c r="I1924" t="s">
        <v>12</v>
      </c>
    </row>
    <row r="1925" spans="1:9">
      <c r="A1925" t="s">
        <v>15</v>
      </c>
      <c r="B1925" t="s">
        <v>129</v>
      </c>
      <c r="C1925">
        <v>2020</v>
      </c>
      <c r="D1925" t="s">
        <v>138</v>
      </c>
      <c r="E1925">
        <v>20</v>
      </c>
      <c r="F1925">
        <v>8</v>
      </c>
      <c r="G1925">
        <v>12</v>
      </c>
      <c r="H1925">
        <v>4</v>
      </c>
      <c r="I1925" t="s">
        <v>12</v>
      </c>
    </row>
    <row r="1926" spans="1:9">
      <c r="A1926" t="s">
        <v>17</v>
      </c>
      <c r="B1926" t="s">
        <v>129</v>
      </c>
      <c r="C1926">
        <v>2020</v>
      </c>
      <c r="D1926" t="s">
        <v>138</v>
      </c>
      <c r="E1926">
        <v>9</v>
      </c>
      <c r="F1926">
        <v>4</v>
      </c>
      <c r="G1926">
        <v>5</v>
      </c>
      <c r="H1926">
        <v>12</v>
      </c>
      <c r="I1926" t="s">
        <v>12</v>
      </c>
    </row>
    <row r="1927" spans="1:9">
      <c r="A1927" t="s">
        <v>46</v>
      </c>
      <c r="B1927" t="s">
        <v>130</v>
      </c>
      <c r="C1927">
        <v>2020</v>
      </c>
      <c r="D1927" t="s">
        <v>138</v>
      </c>
      <c r="E1927">
        <v>6</v>
      </c>
      <c r="F1927">
        <v>3</v>
      </c>
      <c r="G1927">
        <v>3</v>
      </c>
      <c r="H1927">
        <v>15</v>
      </c>
      <c r="I1927" t="s">
        <v>12</v>
      </c>
    </row>
    <row r="1928" spans="1:9">
      <c r="A1928" t="s">
        <v>20</v>
      </c>
      <c r="B1928" t="s">
        <v>10</v>
      </c>
      <c r="C1928">
        <v>2020</v>
      </c>
      <c r="D1928" t="s">
        <v>138</v>
      </c>
      <c r="E1928">
        <v>1</v>
      </c>
      <c r="F1928">
        <v>19</v>
      </c>
      <c r="G1928">
        <v>-18</v>
      </c>
      <c r="H1928">
        <v>0</v>
      </c>
      <c r="I1928" t="s">
        <v>81</v>
      </c>
    </row>
    <row r="1929" spans="1:9">
      <c r="A1929" t="s">
        <v>23</v>
      </c>
      <c r="B1929" t="s">
        <v>16</v>
      </c>
      <c r="C1929">
        <v>2020</v>
      </c>
      <c r="D1929" t="s">
        <v>138</v>
      </c>
      <c r="E1929">
        <v>15</v>
      </c>
      <c r="F1929">
        <v>13</v>
      </c>
      <c r="G1929">
        <v>2</v>
      </c>
      <c r="H1929">
        <v>0</v>
      </c>
      <c r="I1929" t="s">
        <v>12</v>
      </c>
    </row>
    <row r="1930" spans="1:9">
      <c r="A1930" t="s">
        <v>131</v>
      </c>
      <c r="B1930" t="s">
        <v>86</v>
      </c>
      <c r="C1930">
        <v>2020</v>
      </c>
      <c r="D1930" t="s">
        <v>138</v>
      </c>
      <c r="E1930">
        <v>13</v>
      </c>
      <c r="F1930">
        <v>15</v>
      </c>
      <c r="G1930">
        <v>-2</v>
      </c>
      <c r="H1930">
        <v>0</v>
      </c>
      <c r="I1930" t="s">
        <v>12</v>
      </c>
    </row>
    <row r="1931" spans="1:9">
      <c r="A1931" t="s">
        <v>25</v>
      </c>
      <c r="B1931" t="s">
        <v>18</v>
      </c>
      <c r="C1931">
        <v>2020</v>
      </c>
      <c r="D1931" t="s">
        <v>138</v>
      </c>
      <c r="E1931">
        <v>3</v>
      </c>
      <c r="F1931">
        <v>2</v>
      </c>
      <c r="G1931">
        <v>1</v>
      </c>
      <c r="H1931">
        <v>19</v>
      </c>
      <c r="I1931" t="s">
        <v>12</v>
      </c>
    </row>
    <row r="1932" spans="1:9">
      <c r="A1932" t="s">
        <v>26</v>
      </c>
      <c r="B1932" t="s">
        <v>33</v>
      </c>
      <c r="C1932">
        <v>2020</v>
      </c>
      <c r="D1932" t="s">
        <v>138</v>
      </c>
      <c r="E1932">
        <v>10</v>
      </c>
      <c r="F1932">
        <v>5</v>
      </c>
      <c r="G1932">
        <v>5</v>
      </c>
      <c r="H1932">
        <v>10</v>
      </c>
      <c r="I1932" t="s">
        <v>12</v>
      </c>
    </row>
    <row r="1933" spans="1:9">
      <c r="A1933" t="s">
        <v>48</v>
      </c>
      <c r="B1933" t="s">
        <v>130</v>
      </c>
      <c r="C1933">
        <v>2020</v>
      </c>
      <c r="D1933" t="s">
        <v>138</v>
      </c>
      <c r="E1933">
        <v>7</v>
      </c>
      <c r="F1933">
        <v>18</v>
      </c>
      <c r="G1933">
        <v>-11</v>
      </c>
      <c r="H1933">
        <v>0</v>
      </c>
      <c r="I1933" t="s">
        <v>61</v>
      </c>
    </row>
    <row r="1934" spans="1:9">
      <c r="A1934" t="s">
        <v>115</v>
      </c>
      <c r="B1934" t="s">
        <v>87</v>
      </c>
      <c r="C1934">
        <v>2020</v>
      </c>
      <c r="D1934" t="s">
        <v>138</v>
      </c>
      <c r="E1934">
        <v>14</v>
      </c>
      <c r="F1934">
        <v>10</v>
      </c>
      <c r="G1934">
        <v>4</v>
      </c>
      <c r="H1934">
        <v>1</v>
      </c>
      <c r="I1934" t="s">
        <v>12</v>
      </c>
    </row>
    <row r="1935" spans="1:9">
      <c r="A1935" t="s">
        <v>29</v>
      </c>
      <c r="B1935" t="s">
        <v>86</v>
      </c>
      <c r="C1935">
        <v>2020</v>
      </c>
      <c r="D1935" t="s">
        <v>138</v>
      </c>
      <c r="E1935">
        <v>12</v>
      </c>
      <c r="F1935">
        <v>6</v>
      </c>
      <c r="G1935">
        <v>6</v>
      </c>
      <c r="H1935">
        <v>8</v>
      </c>
      <c r="I1935" t="s">
        <v>12</v>
      </c>
    </row>
    <row r="1936" spans="1:9">
      <c r="A1936" t="s">
        <v>31</v>
      </c>
      <c r="B1936" t="s">
        <v>27</v>
      </c>
      <c r="C1936">
        <v>2020</v>
      </c>
      <c r="D1936" t="s">
        <v>138</v>
      </c>
      <c r="E1936">
        <v>4</v>
      </c>
      <c r="F1936">
        <v>7</v>
      </c>
      <c r="G1936">
        <v>-3</v>
      </c>
      <c r="H1936">
        <v>6</v>
      </c>
      <c r="I1936" t="s">
        <v>12</v>
      </c>
    </row>
    <row r="1937" spans="1:9">
      <c r="A1937" t="s">
        <v>32</v>
      </c>
      <c r="B1937" t="s">
        <v>33</v>
      </c>
      <c r="C1937">
        <v>2020</v>
      </c>
      <c r="D1937" t="s">
        <v>138</v>
      </c>
      <c r="E1937">
        <v>8</v>
      </c>
      <c r="F1937">
        <v>16</v>
      </c>
      <c r="G1937">
        <v>-8</v>
      </c>
      <c r="H1937">
        <v>0</v>
      </c>
      <c r="I1937" t="s">
        <v>81</v>
      </c>
    </row>
    <row r="1938" spans="1:9">
      <c r="A1938" t="s">
        <v>34</v>
      </c>
      <c r="B1938" t="s">
        <v>36</v>
      </c>
      <c r="C1938">
        <v>2020</v>
      </c>
      <c r="D1938" t="s">
        <v>138</v>
      </c>
      <c r="E1938">
        <v>17</v>
      </c>
      <c r="F1938">
        <v>20</v>
      </c>
      <c r="G1938">
        <v>-3</v>
      </c>
      <c r="H1938">
        <v>0</v>
      </c>
      <c r="I1938" t="s">
        <v>19</v>
      </c>
    </row>
    <row r="1939" spans="1:9">
      <c r="A1939" t="s">
        <v>35</v>
      </c>
      <c r="B1939" t="s">
        <v>18</v>
      </c>
      <c r="C1939">
        <v>2020</v>
      </c>
      <c r="D1939" t="s">
        <v>138</v>
      </c>
      <c r="E1939">
        <v>5</v>
      </c>
      <c r="F1939">
        <v>17</v>
      </c>
      <c r="G1939">
        <v>-12</v>
      </c>
      <c r="H1939">
        <v>0</v>
      </c>
      <c r="I1939" t="s">
        <v>73</v>
      </c>
    </row>
    <row r="1940" spans="1:9">
      <c r="A1940" t="s">
        <v>101</v>
      </c>
      <c r="B1940" t="s">
        <v>36</v>
      </c>
      <c r="C1940">
        <v>2020</v>
      </c>
      <c r="D1940" t="s">
        <v>138</v>
      </c>
      <c r="E1940">
        <v>18</v>
      </c>
      <c r="F1940">
        <v>14</v>
      </c>
      <c r="G1940">
        <v>4</v>
      </c>
      <c r="H1940">
        <v>0</v>
      </c>
      <c r="I1940" t="s">
        <v>12</v>
      </c>
    </row>
    <row r="1941" spans="1:9">
      <c r="A1941" t="s">
        <v>9</v>
      </c>
      <c r="B1941" t="s">
        <v>10</v>
      </c>
      <c r="C1941">
        <v>2020</v>
      </c>
      <c r="D1941" t="s">
        <v>66</v>
      </c>
      <c r="E1941">
        <v>2</v>
      </c>
      <c r="F1941">
        <v>1</v>
      </c>
      <c r="G1941">
        <v>1</v>
      </c>
      <c r="H1941">
        <v>26</v>
      </c>
      <c r="I1941" t="s">
        <v>12</v>
      </c>
    </row>
    <row r="1942" spans="1:9">
      <c r="A1942" t="s">
        <v>114</v>
      </c>
      <c r="B1942" t="s">
        <v>87</v>
      </c>
      <c r="C1942">
        <v>2020</v>
      </c>
      <c r="D1942" t="s">
        <v>66</v>
      </c>
      <c r="E1942">
        <v>18</v>
      </c>
      <c r="F1942">
        <v>9</v>
      </c>
      <c r="G1942">
        <v>9</v>
      </c>
      <c r="H1942">
        <v>2</v>
      </c>
      <c r="I1942" t="s">
        <v>12</v>
      </c>
    </row>
    <row r="1943" spans="1:9">
      <c r="A1943" t="s">
        <v>100</v>
      </c>
      <c r="B1943" t="s">
        <v>27</v>
      </c>
      <c r="C1943">
        <v>2020</v>
      </c>
      <c r="D1943" t="s">
        <v>66</v>
      </c>
      <c r="E1943">
        <v>14</v>
      </c>
      <c r="F1943">
        <v>12</v>
      </c>
      <c r="G1943">
        <v>2</v>
      </c>
      <c r="H1943">
        <v>0</v>
      </c>
      <c r="I1943" t="s">
        <v>12</v>
      </c>
    </row>
    <row r="1944" spans="1:9">
      <c r="A1944" t="s">
        <v>128</v>
      </c>
      <c r="B1944" t="s">
        <v>16</v>
      </c>
      <c r="C1944">
        <v>2020</v>
      </c>
      <c r="D1944" t="s">
        <v>66</v>
      </c>
      <c r="E1944">
        <v>16</v>
      </c>
      <c r="F1944">
        <v>14</v>
      </c>
      <c r="G1944">
        <v>2</v>
      </c>
      <c r="H1944">
        <v>0</v>
      </c>
      <c r="I1944" t="s">
        <v>12</v>
      </c>
    </row>
    <row r="1945" spans="1:9">
      <c r="A1945" t="s">
        <v>17</v>
      </c>
      <c r="B1945" t="s">
        <v>129</v>
      </c>
      <c r="C1945">
        <v>2020</v>
      </c>
      <c r="D1945" t="s">
        <v>66</v>
      </c>
      <c r="E1945">
        <v>11</v>
      </c>
      <c r="F1945">
        <v>6</v>
      </c>
      <c r="G1945">
        <v>5</v>
      </c>
      <c r="H1945">
        <v>8</v>
      </c>
      <c r="I1945" t="s">
        <v>12</v>
      </c>
    </row>
    <row r="1946" spans="1:9">
      <c r="A1946" t="s">
        <v>46</v>
      </c>
      <c r="B1946" t="s">
        <v>130</v>
      </c>
      <c r="C1946">
        <v>2020</v>
      </c>
      <c r="D1946" t="s">
        <v>66</v>
      </c>
      <c r="E1946">
        <v>5</v>
      </c>
      <c r="F1946">
        <v>3</v>
      </c>
      <c r="G1946">
        <v>2</v>
      </c>
      <c r="H1946">
        <v>15</v>
      </c>
      <c r="I1946" t="s">
        <v>12</v>
      </c>
    </row>
    <row r="1947" spans="1:9">
      <c r="A1947" t="s">
        <v>20</v>
      </c>
      <c r="B1947" t="s">
        <v>10</v>
      </c>
      <c r="C1947">
        <v>2020</v>
      </c>
      <c r="D1947" t="s">
        <v>66</v>
      </c>
      <c r="E1947">
        <v>1</v>
      </c>
      <c r="F1947">
        <v>2</v>
      </c>
      <c r="G1947">
        <v>-1</v>
      </c>
      <c r="H1947">
        <v>18</v>
      </c>
      <c r="I1947" t="s">
        <v>12</v>
      </c>
    </row>
    <row r="1948" spans="1:9">
      <c r="A1948" t="s">
        <v>23</v>
      </c>
      <c r="B1948" t="s">
        <v>16</v>
      </c>
      <c r="C1948">
        <v>2020</v>
      </c>
      <c r="D1948" t="s">
        <v>66</v>
      </c>
      <c r="E1948">
        <v>17</v>
      </c>
      <c r="F1948">
        <v>18</v>
      </c>
      <c r="G1948">
        <v>-1</v>
      </c>
      <c r="H1948">
        <v>0</v>
      </c>
      <c r="I1948" t="s">
        <v>97</v>
      </c>
    </row>
    <row r="1949" spans="1:9">
      <c r="A1949" t="s">
        <v>131</v>
      </c>
      <c r="B1949" t="s">
        <v>86</v>
      </c>
      <c r="C1949">
        <v>2020</v>
      </c>
      <c r="D1949" t="s">
        <v>66</v>
      </c>
      <c r="E1949">
        <v>8</v>
      </c>
      <c r="F1949">
        <v>4</v>
      </c>
      <c r="G1949">
        <v>4</v>
      </c>
      <c r="H1949">
        <v>12</v>
      </c>
      <c r="I1949" t="s">
        <v>12</v>
      </c>
    </row>
    <row r="1950" spans="1:9">
      <c r="A1950" t="s">
        <v>25</v>
      </c>
      <c r="B1950" t="s">
        <v>18</v>
      </c>
      <c r="C1950">
        <v>2020</v>
      </c>
      <c r="D1950" t="s">
        <v>66</v>
      </c>
      <c r="E1950">
        <v>3</v>
      </c>
      <c r="F1950">
        <v>17</v>
      </c>
      <c r="G1950">
        <v>-14</v>
      </c>
      <c r="H1950">
        <v>0</v>
      </c>
      <c r="I1950" t="s">
        <v>123</v>
      </c>
    </row>
    <row r="1951" spans="1:9">
      <c r="A1951" t="s">
        <v>26</v>
      </c>
      <c r="B1951" t="s">
        <v>33</v>
      </c>
      <c r="C1951">
        <v>2020</v>
      </c>
      <c r="D1951" t="s">
        <v>66</v>
      </c>
      <c r="E1951">
        <v>10</v>
      </c>
      <c r="F1951">
        <v>7</v>
      </c>
      <c r="G1951">
        <v>3</v>
      </c>
      <c r="H1951">
        <v>6</v>
      </c>
      <c r="I1951" t="s">
        <v>12</v>
      </c>
    </row>
    <row r="1952" spans="1:9">
      <c r="A1952" t="s">
        <v>48</v>
      </c>
      <c r="B1952" t="s">
        <v>130</v>
      </c>
      <c r="C1952">
        <v>2020</v>
      </c>
      <c r="D1952" t="s">
        <v>66</v>
      </c>
      <c r="E1952">
        <v>12</v>
      </c>
      <c r="F1952">
        <v>19</v>
      </c>
      <c r="G1952">
        <v>-7</v>
      </c>
      <c r="H1952">
        <v>0</v>
      </c>
      <c r="I1952" t="s">
        <v>61</v>
      </c>
    </row>
    <row r="1953" spans="1:9">
      <c r="A1953" t="s">
        <v>28</v>
      </c>
      <c r="B1953" t="s">
        <v>129</v>
      </c>
      <c r="C1953">
        <v>2020</v>
      </c>
      <c r="D1953" t="s">
        <v>66</v>
      </c>
      <c r="E1953">
        <v>15</v>
      </c>
      <c r="F1953">
        <v>13</v>
      </c>
      <c r="G1953">
        <v>2</v>
      </c>
      <c r="H1953">
        <v>0</v>
      </c>
      <c r="I1953" t="s">
        <v>12</v>
      </c>
    </row>
    <row r="1954" spans="1:9">
      <c r="A1954" t="s">
        <v>115</v>
      </c>
      <c r="B1954" t="s">
        <v>87</v>
      </c>
      <c r="C1954">
        <v>2020</v>
      </c>
      <c r="D1954" t="s">
        <v>66</v>
      </c>
      <c r="E1954">
        <v>20</v>
      </c>
      <c r="F1954">
        <v>10</v>
      </c>
      <c r="G1954">
        <v>10</v>
      </c>
      <c r="H1954">
        <v>1</v>
      </c>
      <c r="I1954" t="s">
        <v>12</v>
      </c>
    </row>
    <row r="1955" spans="1:9">
      <c r="A1955" t="s">
        <v>29</v>
      </c>
      <c r="B1955" t="s">
        <v>86</v>
      </c>
      <c r="C1955">
        <v>2020</v>
      </c>
      <c r="D1955" t="s">
        <v>66</v>
      </c>
      <c r="E1955">
        <v>4</v>
      </c>
      <c r="F1955">
        <v>20</v>
      </c>
      <c r="G1955">
        <v>-16</v>
      </c>
      <c r="H1955">
        <v>0</v>
      </c>
      <c r="I1955" t="s">
        <v>62</v>
      </c>
    </row>
    <row r="1956" spans="1:9">
      <c r="A1956" t="s">
        <v>31</v>
      </c>
      <c r="B1956" t="s">
        <v>27</v>
      </c>
      <c r="C1956">
        <v>2020</v>
      </c>
      <c r="D1956" t="s">
        <v>66</v>
      </c>
      <c r="E1956">
        <v>7</v>
      </c>
      <c r="F1956">
        <v>5</v>
      </c>
      <c r="G1956">
        <v>2</v>
      </c>
      <c r="H1956">
        <v>10</v>
      </c>
      <c r="I1956" t="s">
        <v>12</v>
      </c>
    </row>
    <row r="1957" spans="1:9">
      <c r="A1957" t="s">
        <v>32</v>
      </c>
      <c r="B1957" t="s">
        <v>33</v>
      </c>
      <c r="C1957">
        <v>2020</v>
      </c>
      <c r="D1957" t="s">
        <v>66</v>
      </c>
      <c r="E1957">
        <v>9</v>
      </c>
      <c r="F1957">
        <v>8</v>
      </c>
      <c r="G1957">
        <v>1</v>
      </c>
      <c r="H1957">
        <v>4</v>
      </c>
      <c r="I1957" t="s">
        <v>12</v>
      </c>
    </row>
    <row r="1958" spans="1:9">
      <c r="A1958" t="s">
        <v>34</v>
      </c>
      <c r="B1958" t="s">
        <v>36</v>
      </c>
      <c r="C1958">
        <v>2020</v>
      </c>
      <c r="D1958" t="s">
        <v>66</v>
      </c>
      <c r="E1958">
        <v>13</v>
      </c>
      <c r="F1958">
        <v>16</v>
      </c>
      <c r="G1958">
        <v>-3</v>
      </c>
      <c r="H1958">
        <v>0</v>
      </c>
      <c r="I1958" t="s">
        <v>49</v>
      </c>
    </row>
    <row r="1959" spans="1:9">
      <c r="A1959" t="s">
        <v>35</v>
      </c>
      <c r="B1959" t="s">
        <v>18</v>
      </c>
      <c r="C1959">
        <v>2020</v>
      </c>
      <c r="D1959" t="s">
        <v>66</v>
      </c>
      <c r="E1959">
        <v>6</v>
      </c>
      <c r="F1959">
        <v>15</v>
      </c>
      <c r="G1959">
        <v>-9</v>
      </c>
      <c r="H1959">
        <v>0</v>
      </c>
      <c r="I1959" t="s">
        <v>12</v>
      </c>
    </row>
    <row r="1960" spans="1:9">
      <c r="A1960" t="s">
        <v>101</v>
      </c>
      <c r="B1960" t="s">
        <v>36</v>
      </c>
      <c r="C1960">
        <v>2020</v>
      </c>
      <c r="D1960" t="s">
        <v>66</v>
      </c>
      <c r="E1960">
        <v>19</v>
      </c>
      <c r="F1960">
        <v>11</v>
      </c>
      <c r="G1960">
        <v>8</v>
      </c>
      <c r="H1960">
        <v>0</v>
      </c>
      <c r="I1960" t="s">
        <v>12</v>
      </c>
    </row>
    <row r="1961" spans="1:9">
      <c r="A1961" t="s">
        <v>9</v>
      </c>
      <c r="B1961" t="s">
        <v>10</v>
      </c>
      <c r="C1961">
        <v>2020</v>
      </c>
      <c r="D1961" t="s">
        <v>67</v>
      </c>
      <c r="E1961">
        <v>1</v>
      </c>
      <c r="F1961">
        <v>1</v>
      </c>
      <c r="G1961">
        <v>0</v>
      </c>
      <c r="H1961">
        <v>26</v>
      </c>
      <c r="I1961" t="s">
        <v>12</v>
      </c>
    </row>
    <row r="1962" spans="1:9">
      <c r="A1962" t="s">
        <v>114</v>
      </c>
      <c r="B1962" t="s">
        <v>87</v>
      </c>
      <c r="C1962">
        <v>2020</v>
      </c>
      <c r="D1962" t="s">
        <v>67</v>
      </c>
      <c r="E1962">
        <v>20</v>
      </c>
      <c r="F1962">
        <v>15</v>
      </c>
      <c r="G1962">
        <v>5</v>
      </c>
      <c r="H1962">
        <v>0</v>
      </c>
      <c r="I1962" t="s">
        <v>24</v>
      </c>
    </row>
    <row r="1963" spans="1:9">
      <c r="A1963" t="s">
        <v>100</v>
      </c>
      <c r="B1963" t="s">
        <v>27</v>
      </c>
      <c r="C1963">
        <v>2020</v>
      </c>
      <c r="D1963" t="s">
        <v>67</v>
      </c>
      <c r="E1963">
        <v>5</v>
      </c>
      <c r="F1963">
        <v>6</v>
      </c>
      <c r="G1963">
        <v>-1</v>
      </c>
      <c r="H1963">
        <v>8</v>
      </c>
      <c r="I1963" t="s">
        <v>24</v>
      </c>
    </row>
    <row r="1964" spans="1:9">
      <c r="A1964" t="s">
        <v>128</v>
      </c>
      <c r="B1964" t="s">
        <v>16</v>
      </c>
      <c r="C1964">
        <v>2020</v>
      </c>
      <c r="D1964" t="s">
        <v>67</v>
      </c>
      <c r="E1964">
        <v>0</v>
      </c>
      <c r="F1964">
        <v>16</v>
      </c>
      <c r="G1964">
        <v>-16</v>
      </c>
      <c r="H1964">
        <v>0</v>
      </c>
      <c r="I1964" t="s">
        <v>24</v>
      </c>
    </row>
    <row r="1965" spans="1:9">
      <c r="A1965" t="s">
        <v>17</v>
      </c>
      <c r="B1965" t="s">
        <v>129</v>
      </c>
      <c r="C1965">
        <v>2020</v>
      </c>
      <c r="D1965" t="s">
        <v>67</v>
      </c>
      <c r="E1965">
        <v>4</v>
      </c>
      <c r="F1965">
        <v>7</v>
      </c>
      <c r="G1965">
        <v>-3</v>
      </c>
      <c r="H1965">
        <v>6</v>
      </c>
      <c r="I1965" t="s">
        <v>24</v>
      </c>
    </row>
    <row r="1966" spans="1:9">
      <c r="A1966" t="s">
        <v>46</v>
      </c>
      <c r="B1966" t="s">
        <v>130</v>
      </c>
      <c r="C1966">
        <v>2020</v>
      </c>
      <c r="D1966" t="s">
        <v>67</v>
      </c>
      <c r="E1966">
        <v>11</v>
      </c>
      <c r="F1966">
        <v>8</v>
      </c>
      <c r="G1966">
        <v>3</v>
      </c>
      <c r="H1966">
        <v>4</v>
      </c>
      <c r="I1966" t="s">
        <v>24</v>
      </c>
    </row>
    <row r="1967" spans="1:9">
      <c r="A1967" t="s">
        <v>20</v>
      </c>
      <c r="B1967" t="s">
        <v>10</v>
      </c>
      <c r="C1967">
        <v>2020</v>
      </c>
      <c r="D1967" t="s">
        <v>67</v>
      </c>
      <c r="E1967">
        <v>2</v>
      </c>
      <c r="F1967">
        <v>3</v>
      </c>
      <c r="G1967">
        <v>-1</v>
      </c>
      <c r="H1967">
        <v>15</v>
      </c>
      <c r="I1967" t="s">
        <v>12</v>
      </c>
    </row>
    <row r="1968" spans="1:9">
      <c r="A1968" t="s">
        <v>23</v>
      </c>
      <c r="B1968" t="s">
        <v>16</v>
      </c>
      <c r="C1968">
        <v>2020</v>
      </c>
      <c r="D1968" t="s">
        <v>67</v>
      </c>
      <c r="E1968">
        <v>0</v>
      </c>
      <c r="F1968">
        <v>10</v>
      </c>
      <c r="G1968">
        <v>-10</v>
      </c>
      <c r="H1968">
        <v>1</v>
      </c>
      <c r="I1968" t="s">
        <v>24</v>
      </c>
    </row>
    <row r="1969" spans="1:9">
      <c r="A1969" t="s">
        <v>131</v>
      </c>
      <c r="B1969" t="s">
        <v>86</v>
      </c>
      <c r="C1969">
        <v>2020</v>
      </c>
      <c r="D1969" t="s">
        <v>67</v>
      </c>
      <c r="E1969">
        <v>17</v>
      </c>
      <c r="F1969">
        <v>12</v>
      </c>
      <c r="G1969">
        <v>5</v>
      </c>
      <c r="H1969">
        <v>0</v>
      </c>
      <c r="I1969" t="s">
        <v>24</v>
      </c>
    </row>
    <row r="1970" spans="1:9">
      <c r="A1970" t="s">
        <v>25</v>
      </c>
      <c r="B1970" t="s">
        <v>18</v>
      </c>
      <c r="C1970">
        <v>2020</v>
      </c>
      <c r="D1970" t="s">
        <v>67</v>
      </c>
      <c r="E1970">
        <v>7</v>
      </c>
      <c r="F1970">
        <v>2</v>
      </c>
      <c r="G1970">
        <v>5</v>
      </c>
      <c r="H1970">
        <v>18</v>
      </c>
      <c r="I1970" t="s">
        <v>12</v>
      </c>
    </row>
    <row r="1971" spans="1:9">
      <c r="A1971" t="s">
        <v>26</v>
      </c>
      <c r="B1971" t="s">
        <v>33</v>
      </c>
      <c r="C1971">
        <v>2020</v>
      </c>
      <c r="D1971" t="s">
        <v>67</v>
      </c>
      <c r="E1971">
        <v>9</v>
      </c>
      <c r="F1971">
        <v>9</v>
      </c>
      <c r="G1971">
        <v>0</v>
      </c>
      <c r="H1971">
        <v>2</v>
      </c>
      <c r="I1971" t="s">
        <v>24</v>
      </c>
    </row>
    <row r="1972" spans="1:9">
      <c r="A1972" t="s">
        <v>48</v>
      </c>
      <c r="B1972" t="s">
        <v>130</v>
      </c>
      <c r="C1972">
        <v>2020</v>
      </c>
      <c r="D1972" t="s">
        <v>67</v>
      </c>
      <c r="E1972">
        <v>14</v>
      </c>
      <c r="F1972">
        <v>14</v>
      </c>
      <c r="G1972">
        <v>0</v>
      </c>
      <c r="H1972">
        <v>0</v>
      </c>
      <c r="I1972" t="s">
        <v>24</v>
      </c>
    </row>
    <row r="1973" spans="1:9">
      <c r="A1973" t="s">
        <v>28</v>
      </c>
      <c r="B1973" t="s">
        <v>129</v>
      </c>
      <c r="C1973">
        <v>2020</v>
      </c>
      <c r="D1973" t="s">
        <v>67</v>
      </c>
      <c r="E1973">
        <v>3</v>
      </c>
      <c r="F1973">
        <v>4</v>
      </c>
      <c r="G1973">
        <v>-1</v>
      </c>
      <c r="H1973">
        <v>12</v>
      </c>
      <c r="I1973" t="s">
        <v>12</v>
      </c>
    </row>
    <row r="1974" spans="1:9">
      <c r="A1974" t="s">
        <v>115</v>
      </c>
      <c r="B1974" t="s">
        <v>87</v>
      </c>
      <c r="C1974">
        <v>2020</v>
      </c>
      <c r="D1974" t="s">
        <v>67</v>
      </c>
      <c r="E1974">
        <v>19</v>
      </c>
      <c r="F1974">
        <v>17</v>
      </c>
      <c r="G1974">
        <v>2</v>
      </c>
      <c r="H1974">
        <v>0</v>
      </c>
      <c r="I1974" t="s">
        <v>24</v>
      </c>
    </row>
    <row r="1975" spans="1:9">
      <c r="A1975" t="s">
        <v>29</v>
      </c>
      <c r="B1975" t="s">
        <v>86</v>
      </c>
      <c r="C1975">
        <v>2020</v>
      </c>
      <c r="D1975" t="s">
        <v>67</v>
      </c>
      <c r="E1975">
        <v>10</v>
      </c>
      <c r="F1975">
        <v>20</v>
      </c>
      <c r="G1975">
        <v>-10</v>
      </c>
      <c r="H1975">
        <v>0</v>
      </c>
      <c r="I1975" t="s">
        <v>42</v>
      </c>
    </row>
    <row r="1976" spans="1:9">
      <c r="A1976" t="s">
        <v>31</v>
      </c>
      <c r="B1976" t="s">
        <v>27</v>
      </c>
      <c r="C1976">
        <v>2020</v>
      </c>
      <c r="D1976" t="s">
        <v>67</v>
      </c>
      <c r="E1976">
        <v>6</v>
      </c>
      <c r="F1976">
        <v>11</v>
      </c>
      <c r="G1976">
        <v>-5</v>
      </c>
      <c r="H1976">
        <v>0</v>
      </c>
      <c r="I1976" t="s">
        <v>24</v>
      </c>
    </row>
    <row r="1977" spans="1:9">
      <c r="A1977" t="s">
        <v>32</v>
      </c>
      <c r="B1977" t="s">
        <v>33</v>
      </c>
      <c r="C1977">
        <v>2020</v>
      </c>
      <c r="D1977" t="s">
        <v>67</v>
      </c>
      <c r="E1977">
        <v>8</v>
      </c>
      <c r="F1977">
        <v>13</v>
      </c>
      <c r="G1977">
        <v>-5</v>
      </c>
      <c r="H1977">
        <v>0</v>
      </c>
      <c r="I1977" t="s">
        <v>24</v>
      </c>
    </row>
    <row r="1978" spans="1:9">
      <c r="A1978" t="s">
        <v>34</v>
      </c>
      <c r="B1978" t="s">
        <v>36</v>
      </c>
      <c r="C1978">
        <v>2020</v>
      </c>
      <c r="D1978" t="s">
        <v>67</v>
      </c>
      <c r="E1978">
        <v>12</v>
      </c>
      <c r="F1978">
        <v>18</v>
      </c>
      <c r="G1978">
        <v>-6</v>
      </c>
      <c r="H1978">
        <v>0</v>
      </c>
      <c r="I1978" t="s">
        <v>24</v>
      </c>
    </row>
    <row r="1979" spans="1:9">
      <c r="A1979" t="s">
        <v>35</v>
      </c>
      <c r="B1979" t="s">
        <v>18</v>
      </c>
      <c r="C1979">
        <v>2020</v>
      </c>
      <c r="D1979" t="s">
        <v>67</v>
      </c>
      <c r="E1979">
        <v>13</v>
      </c>
      <c r="F1979">
        <v>5</v>
      </c>
      <c r="G1979">
        <v>8</v>
      </c>
      <c r="H1979">
        <v>10</v>
      </c>
      <c r="I1979" t="s">
        <v>12</v>
      </c>
    </row>
    <row r="1980" spans="1:9">
      <c r="A1980" t="s">
        <v>101</v>
      </c>
      <c r="B1980" t="s">
        <v>36</v>
      </c>
      <c r="C1980">
        <v>2020</v>
      </c>
      <c r="D1980" t="s">
        <v>67</v>
      </c>
      <c r="E1980">
        <v>15</v>
      </c>
      <c r="F1980">
        <v>19</v>
      </c>
      <c r="G1980">
        <v>-4</v>
      </c>
      <c r="H1980">
        <v>0</v>
      </c>
      <c r="I1980" t="s">
        <v>139</v>
      </c>
    </row>
    <row r="1981" spans="1:9">
      <c r="A1981" t="s">
        <v>9</v>
      </c>
      <c r="B1981" t="s">
        <v>10</v>
      </c>
      <c r="C1981">
        <v>2020</v>
      </c>
      <c r="D1981" t="s">
        <v>69</v>
      </c>
      <c r="E1981">
        <v>1</v>
      </c>
      <c r="F1981">
        <v>7</v>
      </c>
      <c r="G1981">
        <v>-6</v>
      </c>
      <c r="H1981">
        <v>7</v>
      </c>
      <c r="I1981" t="s">
        <v>12</v>
      </c>
    </row>
    <row r="1982" spans="1:9">
      <c r="A1982" t="s">
        <v>114</v>
      </c>
      <c r="B1982" t="s">
        <v>87</v>
      </c>
      <c r="C1982">
        <v>2020</v>
      </c>
      <c r="D1982" t="s">
        <v>69</v>
      </c>
      <c r="E1982">
        <v>14</v>
      </c>
      <c r="F1982">
        <v>13</v>
      </c>
      <c r="G1982">
        <v>1</v>
      </c>
      <c r="H1982">
        <v>0</v>
      </c>
      <c r="I1982" t="s">
        <v>12</v>
      </c>
    </row>
    <row r="1983" spans="1:9">
      <c r="A1983" t="s">
        <v>100</v>
      </c>
      <c r="B1983" t="s">
        <v>27</v>
      </c>
      <c r="C1983">
        <v>2020</v>
      </c>
      <c r="D1983" t="s">
        <v>69</v>
      </c>
      <c r="E1983">
        <v>17</v>
      </c>
      <c r="F1983">
        <v>20</v>
      </c>
      <c r="G1983">
        <v>-3</v>
      </c>
      <c r="H1983">
        <v>0</v>
      </c>
      <c r="I1983" t="s">
        <v>47</v>
      </c>
    </row>
    <row r="1984" spans="1:9">
      <c r="A1984" t="s">
        <v>128</v>
      </c>
      <c r="B1984" t="s">
        <v>16</v>
      </c>
      <c r="C1984">
        <v>2020</v>
      </c>
      <c r="D1984" t="s">
        <v>69</v>
      </c>
      <c r="E1984">
        <v>16</v>
      </c>
      <c r="F1984">
        <v>12</v>
      </c>
      <c r="G1984">
        <v>4</v>
      </c>
      <c r="H1984">
        <v>0</v>
      </c>
      <c r="I1984" t="s">
        <v>12</v>
      </c>
    </row>
    <row r="1985" spans="1:9">
      <c r="A1985" t="s">
        <v>17</v>
      </c>
      <c r="B1985" t="s">
        <v>129</v>
      </c>
      <c r="C1985">
        <v>2020</v>
      </c>
      <c r="D1985" t="s">
        <v>69</v>
      </c>
      <c r="E1985">
        <v>4</v>
      </c>
      <c r="F1985">
        <v>10</v>
      </c>
      <c r="G1985">
        <v>-6</v>
      </c>
      <c r="H1985">
        <v>1</v>
      </c>
      <c r="I1985" t="s">
        <v>12</v>
      </c>
    </row>
    <row r="1986" spans="1:9">
      <c r="A1986" t="s">
        <v>46</v>
      </c>
      <c r="B1986" t="s">
        <v>130</v>
      </c>
      <c r="C1986">
        <v>2020</v>
      </c>
      <c r="D1986" t="s">
        <v>69</v>
      </c>
      <c r="E1986">
        <v>7</v>
      </c>
      <c r="F1986">
        <v>6</v>
      </c>
      <c r="G1986">
        <v>1</v>
      </c>
      <c r="H1986">
        <v>8</v>
      </c>
      <c r="I1986" t="s">
        <v>12</v>
      </c>
    </row>
    <row r="1987" spans="1:9">
      <c r="A1987" t="s">
        <v>20</v>
      </c>
      <c r="B1987" t="s">
        <v>10</v>
      </c>
      <c r="C1987">
        <v>2020</v>
      </c>
      <c r="D1987" t="s">
        <v>69</v>
      </c>
      <c r="E1987">
        <v>2</v>
      </c>
      <c r="F1987">
        <v>5</v>
      </c>
      <c r="G1987">
        <v>-3</v>
      </c>
      <c r="H1987">
        <v>10</v>
      </c>
      <c r="I1987" t="s">
        <v>12</v>
      </c>
    </row>
    <row r="1988" spans="1:9">
      <c r="A1988" t="s">
        <v>23</v>
      </c>
      <c r="B1988" t="s">
        <v>16</v>
      </c>
      <c r="C1988">
        <v>2020</v>
      </c>
      <c r="D1988" t="s">
        <v>69</v>
      </c>
      <c r="E1988">
        <v>15</v>
      </c>
      <c r="F1988">
        <v>19</v>
      </c>
      <c r="G1988">
        <v>-4</v>
      </c>
      <c r="H1988">
        <v>0</v>
      </c>
      <c r="I1988" t="s">
        <v>81</v>
      </c>
    </row>
    <row r="1989" spans="1:9">
      <c r="A1989" t="s">
        <v>131</v>
      </c>
      <c r="B1989" t="s">
        <v>86</v>
      </c>
      <c r="C1989">
        <v>2020</v>
      </c>
      <c r="D1989" t="s">
        <v>69</v>
      </c>
      <c r="E1989">
        <v>11</v>
      </c>
      <c r="F1989">
        <v>9</v>
      </c>
      <c r="G1989">
        <v>2</v>
      </c>
      <c r="H1989">
        <v>2</v>
      </c>
      <c r="I1989" t="s">
        <v>12</v>
      </c>
    </row>
    <row r="1990" spans="1:9">
      <c r="A1990" t="s">
        <v>25</v>
      </c>
      <c r="B1990" t="s">
        <v>18</v>
      </c>
      <c r="C1990">
        <v>2020</v>
      </c>
      <c r="D1990" t="s">
        <v>69</v>
      </c>
      <c r="E1990">
        <v>5</v>
      </c>
      <c r="F1990">
        <v>17</v>
      </c>
      <c r="G1990">
        <v>-12</v>
      </c>
      <c r="H1990">
        <v>0</v>
      </c>
      <c r="I1990" t="s">
        <v>81</v>
      </c>
    </row>
    <row r="1991" spans="1:9">
      <c r="A1991" t="s">
        <v>26</v>
      </c>
      <c r="B1991" t="s">
        <v>33</v>
      </c>
      <c r="C1991">
        <v>2020</v>
      </c>
      <c r="D1991" t="s">
        <v>69</v>
      </c>
      <c r="E1991">
        <v>3</v>
      </c>
      <c r="F1991">
        <v>2</v>
      </c>
      <c r="G1991">
        <v>1</v>
      </c>
      <c r="H1991">
        <v>18</v>
      </c>
      <c r="I1991" t="s">
        <v>12</v>
      </c>
    </row>
    <row r="1992" spans="1:9">
      <c r="A1992" t="s">
        <v>48</v>
      </c>
      <c r="B1992" t="s">
        <v>130</v>
      </c>
      <c r="C1992">
        <v>2020</v>
      </c>
      <c r="D1992" t="s">
        <v>69</v>
      </c>
      <c r="E1992">
        <v>12</v>
      </c>
      <c r="F1992">
        <v>8</v>
      </c>
      <c r="G1992">
        <v>4</v>
      </c>
      <c r="H1992">
        <v>4</v>
      </c>
      <c r="I1992" t="s">
        <v>12</v>
      </c>
    </row>
    <row r="1993" spans="1:9">
      <c r="A1993" t="s">
        <v>28</v>
      </c>
      <c r="B1993" t="s">
        <v>129</v>
      </c>
      <c r="C1993">
        <v>2020</v>
      </c>
      <c r="D1993" t="s">
        <v>69</v>
      </c>
      <c r="E1993">
        <v>8</v>
      </c>
      <c r="F1993">
        <v>3</v>
      </c>
      <c r="G1993">
        <v>5</v>
      </c>
      <c r="H1993">
        <v>15</v>
      </c>
      <c r="I1993" t="s">
        <v>12</v>
      </c>
    </row>
    <row r="1994" spans="1:9">
      <c r="A1994" t="s">
        <v>115</v>
      </c>
      <c r="B1994" t="s">
        <v>87</v>
      </c>
      <c r="C1994">
        <v>2020</v>
      </c>
      <c r="D1994" t="s">
        <v>69</v>
      </c>
      <c r="E1994">
        <v>18</v>
      </c>
      <c r="F1994">
        <v>16</v>
      </c>
      <c r="G1994">
        <v>2</v>
      </c>
      <c r="H1994">
        <v>0</v>
      </c>
      <c r="I1994" t="s">
        <v>12</v>
      </c>
    </row>
    <row r="1995" spans="1:9">
      <c r="A1995" t="s">
        <v>29</v>
      </c>
      <c r="B1995" t="s">
        <v>86</v>
      </c>
      <c r="C1995">
        <v>2020</v>
      </c>
      <c r="D1995" t="s">
        <v>69</v>
      </c>
      <c r="E1995">
        <v>10</v>
      </c>
      <c r="F1995">
        <v>1</v>
      </c>
      <c r="G1995">
        <v>9</v>
      </c>
      <c r="H1995">
        <v>25</v>
      </c>
      <c r="I1995" t="s">
        <v>12</v>
      </c>
    </row>
    <row r="1996" spans="1:9">
      <c r="A1996" t="s">
        <v>31</v>
      </c>
      <c r="B1996" t="s">
        <v>27</v>
      </c>
      <c r="C1996">
        <v>2020</v>
      </c>
      <c r="D1996" t="s">
        <v>69</v>
      </c>
      <c r="E1996">
        <v>13</v>
      </c>
      <c r="F1996">
        <v>18</v>
      </c>
      <c r="G1996">
        <v>-5</v>
      </c>
      <c r="H1996">
        <v>0</v>
      </c>
      <c r="I1996" t="s">
        <v>49</v>
      </c>
    </row>
    <row r="1997" spans="1:9">
      <c r="A1997" t="s">
        <v>32</v>
      </c>
      <c r="B1997" t="s">
        <v>33</v>
      </c>
      <c r="C1997">
        <v>2020</v>
      </c>
      <c r="D1997" t="s">
        <v>69</v>
      </c>
      <c r="E1997">
        <v>6</v>
      </c>
      <c r="F1997">
        <v>4</v>
      </c>
      <c r="G1997">
        <v>2</v>
      </c>
      <c r="H1997">
        <v>12</v>
      </c>
      <c r="I1997" t="s">
        <v>12</v>
      </c>
    </row>
    <row r="1998" spans="1:9">
      <c r="A1998" t="s">
        <v>34</v>
      </c>
      <c r="B1998" t="s">
        <v>36</v>
      </c>
      <c r="C1998">
        <v>2020</v>
      </c>
      <c r="D1998" t="s">
        <v>69</v>
      </c>
      <c r="E1998">
        <v>19</v>
      </c>
      <c r="F1998">
        <v>14</v>
      </c>
      <c r="G1998">
        <v>5</v>
      </c>
      <c r="H1998">
        <v>0</v>
      </c>
      <c r="I1998" t="s">
        <v>12</v>
      </c>
    </row>
    <row r="1999" spans="1:9">
      <c r="A1999" t="s">
        <v>35</v>
      </c>
      <c r="B1999" t="s">
        <v>18</v>
      </c>
      <c r="C1999">
        <v>2020</v>
      </c>
      <c r="D1999" t="s">
        <v>69</v>
      </c>
      <c r="E1999">
        <v>9</v>
      </c>
      <c r="F1999">
        <v>15</v>
      </c>
      <c r="G1999">
        <v>-6</v>
      </c>
      <c r="H1999">
        <v>0</v>
      </c>
      <c r="I1999" t="s">
        <v>12</v>
      </c>
    </row>
    <row r="2000" spans="1:9">
      <c r="A2000" t="s">
        <v>101</v>
      </c>
      <c r="B2000" t="s">
        <v>36</v>
      </c>
      <c r="C2000">
        <v>2020</v>
      </c>
      <c r="D2000" t="s">
        <v>69</v>
      </c>
      <c r="E2000">
        <v>20</v>
      </c>
      <c r="F2000">
        <v>11</v>
      </c>
      <c r="G2000">
        <v>9</v>
      </c>
      <c r="H2000">
        <v>0</v>
      </c>
      <c r="I2000" t="s">
        <v>12</v>
      </c>
    </row>
    <row r="2001" spans="1:9">
      <c r="A2001" t="s">
        <v>9</v>
      </c>
      <c r="B2001" t="s">
        <v>10</v>
      </c>
      <c r="C2001">
        <v>2020</v>
      </c>
      <c r="D2001" t="s">
        <v>121</v>
      </c>
      <c r="E2001">
        <v>1</v>
      </c>
      <c r="F2001">
        <v>1</v>
      </c>
      <c r="G2001">
        <v>0</v>
      </c>
      <c r="H2001">
        <v>26</v>
      </c>
      <c r="I2001" t="s">
        <v>12</v>
      </c>
    </row>
    <row r="2002" spans="1:9">
      <c r="A2002" t="s">
        <v>114</v>
      </c>
      <c r="B2002" t="s">
        <v>87</v>
      </c>
      <c r="C2002">
        <v>2020</v>
      </c>
      <c r="D2002" t="s">
        <v>121</v>
      </c>
      <c r="E2002">
        <v>16</v>
      </c>
      <c r="F2002">
        <v>11</v>
      </c>
      <c r="G2002">
        <v>5</v>
      </c>
      <c r="H2002">
        <v>0</v>
      </c>
      <c r="I2002" t="s">
        <v>24</v>
      </c>
    </row>
    <row r="2003" spans="1:9">
      <c r="A2003" t="s">
        <v>100</v>
      </c>
      <c r="B2003" t="s">
        <v>27</v>
      </c>
      <c r="C2003">
        <v>2020</v>
      </c>
      <c r="D2003" t="s">
        <v>121</v>
      </c>
      <c r="E2003">
        <v>15</v>
      </c>
      <c r="F2003">
        <v>10</v>
      </c>
      <c r="G2003">
        <v>5</v>
      </c>
      <c r="H2003">
        <v>1</v>
      </c>
      <c r="I2003" t="s">
        <v>24</v>
      </c>
    </row>
    <row r="2004" spans="1:9">
      <c r="A2004" t="s">
        <v>128</v>
      </c>
      <c r="B2004" t="s">
        <v>16</v>
      </c>
      <c r="C2004">
        <v>2020</v>
      </c>
      <c r="D2004" t="s">
        <v>121</v>
      </c>
      <c r="E2004">
        <v>18</v>
      </c>
      <c r="F2004">
        <v>17</v>
      </c>
      <c r="G2004">
        <v>1</v>
      </c>
      <c r="H2004">
        <v>0</v>
      </c>
      <c r="I2004" t="s">
        <v>24</v>
      </c>
    </row>
    <row r="2005" spans="1:9">
      <c r="A2005" t="s">
        <v>17</v>
      </c>
      <c r="B2005" t="s">
        <v>129</v>
      </c>
      <c r="C2005">
        <v>2020</v>
      </c>
      <c r="D2005" t="s">
        <v>121</v>
      </c>
      <c r="E2005">
        <v>5</v>
      </c>
      <c r="F2005">
        <v>7</v>
      </c>
      <c r="G2005">
        <v>-2</v>
      </c>
      <c r="H2005">
        <v>6</v>
      </c>
      <c r="I2005" t="s">
        <v>24</v>
      </c>
    </row>
    <row r="2006" spans="1:9">
      <c r="A2006" t="s">
        <v>46</v>
      </c>
      <c r="B2006" t="s">
        <v>130</v>
      </c>
      <c r="C2006">
        <v>2020</v>
      </c>
      <c r="D2006" t="s">
        <v>121</v>
      </c>
      <c r="E2006">
        <v>10</v>
      </c>
      <c r="F2006">
        <v>9</v>
      </c>
      <c r="G2006">
        <v>1</v>
      </c>
      <c r="H2006">
        <v>2</v>
      </c>
      <c r="I2006" t="s">
        <v>24</v>
      </c>
    </row>
    <row r="2007" spans="1:9">
      <c r="A2007" t="s">
        <v>20</v>
      </c>
      <c r="B2007" t="s">
        <v>10</v>
      </c>
      <c r="C2007">
        <v>2020</v>
      </c>
      <c r="D2007" t="s">
        <v>121</v>
      </c>
      <c r="E2007">
        <v>2</v>
      </c>
      <c r="F2007">
        <v>2</v>
      </c>
      <c r="G2007">
        <v>0</v>
      </c>
      <c r="H2007">
        <v>18</v>
      </c>
      <c r="I2007" t="s">
        <v>12</v>
      </c>
    </row>
    <row r="2008" spans="1:9">
      <c r="A2008" t="s">
        <v>23</v>
      </c>
      <c r="B2008" t="s">
        <v>16</v>
      </c>
      <c r="C2008">
        <v>2020</v>
      </c>
      <c r="D2008" t="s">
        <v>121</v>
      </c>
      <c r="E2008">
        <v>19</v>
      </c>
      <c r="F2008">
        <v>16</v>
      </c>
      <c r="G2008">
        <v>3</v>
      </c>
      <c r="H2008">
        <v>0</v>
      </c>
      <c r="I2008" t="s">
        <v>24</v>
      </c>
    </row>
    <row r="2009" spans="1:9">
      <c r="A2009" t="s">
        <v>131</v>
      </c>
      <c r="B2009" t="s">
        <v>86</v>
      </c>
      <c r="C2009">
        <v>2020</v>
      </c>
      <c r="D2009" t="s">
        <v>121</v>
      </c>
      <c r="E2009">
        <v>13</v>
      </c>
      <c r="F2009">
        <v>19</v>
      </c>
      <c r="G2009">
        <v>-6</v>
      </c>
      <c r="H2009">
        <v>0</v>
      </c>
      <c r="I2009" t="s">
        <v>53</v>
      </c>
    </row>
    <row r="2010" spans="1:9">
      <c r="A2010" t="s">
        <v>25</v>
      </c>
      <c r="B2010" t="s">
        <v>18</v>
      </c>
      <c r="C2010">
        <v>2020</v>
      </c>
      <c r="D2010" t="s">
        <v>121</v>
      </c>
      <c r="E2010">
        <v>3</v>
      </c>
      <c r="F2010">
        <v>3</v>
      </c>
      <c r="G2010">
        <v>0</v>
      </c>
      <c r="H2010">
        <v>15</v>
      </c>
      <c r="I2010" t="s">
        <v>12</v>
      </c>
    </row>
    <row r="2011" spans="1:9">
      <c r="A2011" t="s">
        <v>26</v>
      </c>
      <c r="B2011" t="s">
        <v>33</v>
      </c>
      <c r="C2011">
        <v>2020</v>
      </c>
      <c r="D2011" t="s">
        <v>121</v>
      </c>
      <c r="E2011">
        <v>7</v>
      </c>
      <c r="F2011">
        <v>6</v>
      </c>
      <c r="G2011">
        <v>1</v>
      </c>
      <c r="H2011">
        <v>8</v>
      </c>
      <c r="I2011" t="s">
        <v>24</v>
      </c>
    </row>
    <row r="2012" spans="1:9">
      <c r="A2012" t="s">
        <v>48</v>
      </c>
      <c r="B2012" t="s">
        <v>130</v>
      </c>
      <c r="C2012">
        <v>2020</v>
      </c>
      <c r="D2012" t="s">
        <v>121</v>
      </c>
      <c r="E2012">
        <v>11</v>
      </c>
      <c r="F2012">
        <v>8</v>
      </c>
      <c r="G2012">
        <v>3</v>
      </c>
      <c r="H2012">
        <v>4</v>
      </c>
      <c r="I2012" t="s">
        <v>24</v>
      </c>
    </row>
    <row r="2013" spans="1:9">
      <c r="A2013" t="s">
        <v>28</v>
      </c>
      <c r="B2013" t="s">
        <v>129</v>
      </c>
      <c r="C2013">
        <v>2020</v>
      </c>
      <c r="D2013" t="s">
        <v>121</v>
      </c>
      <c r="E2013">
        <v>12</v>
      </c>
      <c r="F2013">
        <v>20</v>
      </c>
      <c r="G2013">
        <v>-8</v>
      </c>
      <c r="H2013">
        <v>0</v>
      </c>
      <c r="I2013" t="s">
        <v>22</v>
      </c>
    </row>
    <row r="2014" spans="1:9">
      <c r="A2014" t="s">
        <v>115</v>
      </c>
      <c r="B2014" t="s">
        <v>87</v>
      </c>
      <c r="C2014">
        <v>2020</v>
      </c>
      <c r="D2014" t="s">
        <v>121</v>
      </c>
      <c r="E2014">
        <v>17</v>
      </c>
      <c r="F2014">
        <v>15</v>
      </c>
      <c r="G2014">
        <v>2</v>
      </c>
      <c r="H2014">
        <v>0</v>
      </c>
      <c r="I2014" t="s">
        <v>24</v>
      </c>
    </row>
    <row r="2015" spans="1:9">
      <c r="A2015" t="s">
        <v>29</v>
      </c>
      <c r="B2015" t="s">
        <v>86</v>
      </c>
      <c r="C2015">
        <v>2020</v>
      </c>
      <c r="D2015" t="s">
        <v>121</v>
      </c>
      <c r="E2015">
        <v>9</v>
      </c>
      <c r="F2015">
        <v>5</v>
      </c>
      <c r="G2015">
        <v>4</v>
      </c>
      <c r="H2015">
        <v>10</v>
      </c>
      <c r="I2015" t="s">
        <v>24</v>
      </c>
    </row>
    <row r="2016" spans="1:9">
      <c r="A2016" t="s">
        <v>31</v>
      </c>
      <c r="B2016" t="s">
        <v>27</v>
      </c>
      <c r="C2016">
        <v>2020</v>
      </c>
      <c r="D2016" t="s">
        <v>121</v>
      </c>
      <c r="E2016">
        <v>4</v>
      </c>
      <c r="F2016">
        <v>4</v>
      </c>
      <c r="G2016">
        <v>0</v>
      </c>
      <c r="H2016">
        <v>12</v>
      </c>
      <c r="I2016" t="s">
        <v>12</v>
      </c>
    </row>
    <row r="2017" spans="1:9">
      <c r="A2017" t="s">
        <v>32</v>
      </c>
      <c r="B2017" t="s">
        <v>33</v>
      </c>
      <c r="C2017">
        <v>2020</v>
      </c>
      <c r="D2017" t="s">
        <v>121</v>
      </c>
      <c r="E2017">
        <v>8</v>
      </c>
      <c r="F2017">
        <v>13</v>
      </c>
      <c r="G2017">
        <v>-5</v>
      </c>
      <c r="H2017">
        <v>0</v>
      </c>
      <c r="I2017" t="s">
        <v>24</v>
      </c>
    </row>
    <row r="2018" spans="1:9">
      <c r="A2018" t="s">
        <v>34</v>
      </c>
      <c r="B2018" t="s">
        <v>36</v>
      </c>
      <c r="C2018">
        <v>2020</v>
      </c>
      <c r="D2018" t="s">
        <v>121</v>
      </c>
      <c r="E2018">
        <v>14</v>
      </c>
      <c r="F2018">
        <v>14</v>
      </c>
      <c r="G2018">
        <v>0</v>
      </c>
      <c r="H2018">
        <v>0</v>
      </c>
      <c r="I2018" t="s">
        <v>24</v>
      </c>
    </row>
    <row r="2019" spans="1:9">
      <c r="A2019" t="s">
        <v>35</v>
      </c>
      <c r="B2019" t="s">
        <v>18</v>
      </c>
      <c r="C2019">
        <v>2020</v>
      </c>
      <c r="D2019" t="s">
        <v>121</v>
      </c>
      <c r="E2019">
        <v>6</v>
      </c>
      <c r="F2019">
        <v>12</v>
      </c>
      <c r="G2019">
        <v>-6</v>
      </c>
      <c r="H2019">
        <v>0</v>
      </c>
      <c r="I2019" t="s">
        <v>24</v>
      </c>
    </row>
    <row r="2020" spans="1:9">
      <c r="A2020" t="s">
        <v>101</v>
      </c>
      <c r="B2020" t="s">
        <v>36</v>
      </c>
      <c r="C2020">
        <v>2020</v>
      </c>
      <c r="D2020" t="s">
        <v>121</v>
      </c>
      <c r="E2020">
        <v>20</v>
      </c>
      <c r="F2020">
        <v>18</v>
      </c>
      <c r="G2020">
        <v>2</v>
      </c>
      <c r="H2020">
        <v>0</v>
      </c>
      <c r="I2020" t="s">
        <v>53</v>
      </c>
    </row>
    <row r="2021" spans="1:9">
      <c r="A2021" t="s">
        <v>9</v>
      </c>
      <c r="B2021" t="s">
        <v>10</v>
      </c>
      <c r="C2021">
        <v>2020</v>
      </c>
      <c r="D2021" t="s">
        <v>124</v>
      </c>
      <c r="E2021">
        <v>1</v>
      </c>
      <c r="F2021">
        <v>3</v>
      </c>
      <c r="G2021">
        <v>-2</v>
      </c>
      <c r="H2021">
        <v>15</v>
      </c>
      <c r="I2021" t="s">
        <v>12</v>
      </c>
    </row>
    <row r="2022" spans="1:9">
      <c r="A2022" t="s">
        <v>114</v>
      </c>
      <c r="B2022" t="s">
        <v>87</v>
      </c>
      <c r="C2022">
        <v>2020</v>
      </c>
      <c r="D2022" t="s">
        <v>124</v>
      </c>
      <c r="E2022">
        <v>19</v>
      </c>
      <c r="F2022">
        <v>14</v>
      </c>
      <c r="G2022">
        <v>5</v>
      </c>
      <c r="H2022">
        <v>0</v>
      </c>
      <c r="I2022" t="s">
        <v>24</v>
      </c>
    </row>
    <row r="2023" spans="1:9">
      <c r="A2023" t="s">
        <v>100</v>
      </c>
      <c r="B2023" t="s">
        <v>27</v>
      </c>
      <c r="C2023">
        <v>2020</v>
      </c>
      <c r="D2023" t="s">
        <v>124</v>
      </c>
      <c r="E2023">
        <v>14</v>
      </c>
      <c r="F2023">
        <v>13</v>
      </c>
      <c r="G2023">
        <v>1</v>
      </c>
      <c r="H2023">
        <v>0</v>
      </c>
      <c r="I2023" t="s">
        <v>24</v>
      </c>
    </row>
    <row r="2024" spans="1:9">
      <c r="A2024" t="s">
        <v>128</v>
      </c>
      <c r="B2024" t="s">
        <v>16</v>
      </c>
      <c r="C2024">
        <v>2020</v>
      </c>
      <c r="D2024" t="s">
        <v>124</v>
      </c>
      <c r="E2024">
        <v>16</v>
      </c>
      <c r="F2024">
        <v>17</v>
      </c>
      <c r="G2024">
        <v>-1</v>
      </c>
      <c r="H2024">
        <v>0</v>
      </c>
      <c r="I2024" t="s">
        <v>24</v>
      </c>
    </row>
    <row r="2025" spans="1:9">
      <c r="A2025" t="s">
        <v>17</v>
      </c>
      <c r="B2025" t="s">
        <v>129</v>
      </c>
      <c r="C2025">
        <v>2020</v>
      </c>
      <c r="D2025" t="s">
        <v>124</v>
      </c>
      <c r="E2025">
        <v>4</v>
      </c>
      <c r="F2025">
        <v>4</v>
      </c>
      <c r="G2025">
        <v>0</v>
      </c>
      <c r="H2025">
        <v>12</v>
      </c>
      <c r="I2025" t="s">
        <v>12</v>
      </c>
    </row>
    <row r="2026" spans="1:9">
      <c r="A2026" t="s">
        <v>46</v>
      </c>
      <c r="B2026" t="s">
        <v>130</v>
      </c>
      <c r="C2026">
        <v>2020</v>
      </c>
      <c r="D2026" t="s">
        <v>124</v>
      </c>
      <c r="E2026">
        <v>5</v>
      </c>
      <c r="F2026">
        <v>5</v>
      </c>
      <c r="G2026">
        <v>0</v>
      </c>
      <c r="H2026">
        <v>10</v>
      </c>
      <c r="I2026" t="s">
        <v>12</v>
      </c>
    </row>
    <row r="2027" spans="1:9">
      <c r="A2027" t="s">
        <v>20</v>
      </c>
      <c r="B2027" t="s">
        <v>10</v>
      </c>
      <c r="C2027">
        <v>2020</v>
      </c>
      <c r="D2027" t="s">
        <v>124</v>
      </c>
      <c r="E2027">
        <v>3</v>
      </c>
      <c r="F2027">
        <v>1</v>
      </c>
      <c r="G2027">
        <v>2</v>
      </c>
      <c r="H2027">
        <v>26</v>
      </c>
      <c r="I2027" t="s">
        <v>12</v>
      </c>
    </row>
    <row r="2028" spans="1:9">
      <c r="A2028" t="s">
        <v>23</v>
      </c>
      <c r="B2028" t="s">
        <v>16</v>
      </c>
      <c r="C2028">
        <v>2020</v>
      </c>
      <c r="D2028" t="s">
        <v>124</v>
      </c>
      <c r="E2028">
        <v>18</v>
      </c>
      <c r="F2028">
        <v>12</v>
      </c>
      <c r="G2028">
        <v>6</v>
      </c>
      <c r="H2028">
        <v>0</v>
      </c>
      <c r="I2028" t="s">
        <v>24</v>
      </c>
    </row>
    <row r="2029" spans="1:9">
      <c r="A2029" t="s">
        <v>131</v>
      </c>
      <c r="B2029" t="s">
        <v>86</v>
      </c>
      <c r="C2029">
        <v>2020</v>
      </c>
      <c r="D2029" t="s">
        <v>124</v>
      </c>
      <c r="E2029">
        <v>11</v>
      </c>
      <c r="F2029">
        <v>8</v>
      </c>
      <c r="G2029">
        <v>3</v>
      </c>
      <c r="H2029">
        <v>4</v>
      </c>
      <c r="I2029" t="s">
        <v>12</v>
      </c>
    </row>
    <row r="2030" spans="1:9">
      <c r="A2030" t="s">
        <v>25</v>
      </c>
      <c r="B2030" t="s">
        <v>18</v>
      </c>
      <c r="C2030">
        <v>2020</v>
      </c>
      <c r="D2030" t="s">
        <v>124</v>
      </c>
      <c r="E2030">
        <v>2</v>
      </c>
      <c r="F2030">
        <v>2</v>
      </c>
      <c r="G2030">
        <v>0</v>
      </c>
      <c r="H2030">
        <v>18</v>
      </c>
      <c r="I2030" t="s">
        <v>12</v>
      </c>
    </row>
    <row r="2031" spans="1:9">
      <c r="A2031" t="s">
        <v>26</v>
      </c>
      <c r="B2031" t="s">
        <v>33</v>
      </c>
      <c r="C2031">
        <v>2020</v>
      </c>
      <c r="D2031" t="s">
        <v>124</v>
      </c>
      <c r="E2031">
        <v>6</v>
      </c>
      <c r="F2031">
        <v>19</v>
      </c>
      <c r="G2031">
        <v>-13</v>
      </c>
      <c r="H2031">
        <v>0</v>
      </c>
      <c r="I2031" t="s">
        <v>49</v>
      </c>
    </row>
    <row r="2032" spans="1:9">
      <c r="A2032" t="s">
        <v>48</v>
      </c>
      <c r="B2032" t="s">
        <v>130</v>
      </c>
      <c r="C2032">
        <v>2020</v>
      </c>
      <c r="D2032" t="s">
        <v>124</v>
      </c>
      <c r="E2032">
        <v>7</v>
      </c>
      <c r="F2032">
        <v>7</v>
      </c>
      <c r="G2032">
        <v>0</v>
      </c>
      <c r="H2032">
        <v>6</v>
      </c>
      <c r="I2032" t="s">
        <v>12</v>
      </c>
    </row>
    <row r="2033" spans="1:9">
      <c r="A2033" t="s">
        <v>28</v>
      </c>
      <c r="B2033" t="s">
        <v>129</v>
      </c>
      <c r="C2033">
        <v>2020</v>
      </c>
      <c r="D2033" t="s">
        <v>124</v>
      </c>
      <c r="E2033">
        <v>12</v>
      </c>
      <c r="F2033">
        <v>20</v>
      </c>
      <c r="G2033">
        <v>-8</v>
      </c>
      <c r="H2033">
        <v>0</v>
      </c>
      <c r="I2033" t="s">
        <v>19</v>
      </c>
    </row>
    <row r="2034" spans="1:9">
      <c r="A2034" t="s">
        <v>115</v>
      </c>
      <c r="B2034" t="s">
        <v>87</v>
      </c>
      <c r="C2034">
        <v>2020</v>
      </c>
      <c r="D2034" t="s">
        <v>124</v>
      </c>
      <c r="E2034">
        <v>17</v>
      </c>
      <c r="F2034">
        <v>11</v>
      </c>
      <c r="G2034">
        <v>6</v>
      </c>
      <c r="H2034">
        <v>0</v>
      </c>
      <c r="I2034" t="s">
        <v>24</v>
      </c>
    </row>
    <row r="2035" spans="1:9">
      <c r="A2035" t="s">
        <v>29</v>
      </c>
      <c r="B2035" t="s">
        <v>86</v>
      </c>
      <c r="C2035">
        <v>2020</v>
      </c>
      <c r="D2035" t="s">
        <v>124</v>
      </c>
      <c r="E2035">
        <v>9</v>
      </c>
      <c r="F2035">
        <v>9</v>
      </c>
      <c r="G2035">
        <v>0</v>
      </c>
      <c r="H2035">
        <v>2</v>
      </c>
      <c r="I2035" t="s">
        <v>12</v>
      </c>
    </row>
    <row r="2036" spans="1:9">
      <c r="A2036" t="s">
        <v>31</v>
      </c>
      <c r="B2036" t="s">
        <v>27</v>
      </c>
      <c r="C2036">
        <v>2020</v>
      </c>
      <c r="D2036" t="s">
        <v>124</v>
      </c>
      <c r="E2036">
        <v>10</v>
      </c>
      <c r="F2036">
        <v>6</v>
      </c>
      <c r="G2036">
        <v>4</v>
      </c>
      <c r="H2036">
        <v>8</v>
      </c>
      <c r="I2036" t="s">
        <v>12</v>
      </c>
    </row>
    <row r="2037" spans="1:9">
      <c r="A2037" t="s">
        <v>32</v>
      </c>
      <c r="B2037" t="s">
        <v>33</v>
      </c>
      <c r="C2037">
        <v>2020</v>
      </c>
      <c r="D2037" t="s">
        <v>124</v>
      </c>
      <c r="E2037">
        <v>8</v>
      </c>
      <c r="F2037">
        <v>15</v>
      </c>
      <c r="G2037">
        <v>-7</v>
      </c>
      <c r="H2037">
        <v>0</v>
      </c>
      <c r="I2037" t="s">
        <v>24</v>
      </c>
    </row>
    <row r="2038" spans="1:9">
      <c r="A2038" t="s">
        <v>34</v>
      </c>
      <c r="B2038" t="s">
        <v>36</v>
      </c>
      <c r="C2038">
        <v>2020</v>
      </c>
      <c r="D2038" t="s">
        <v>124</v>
      </c>
      <c r="E2038">
        <v>13</v>
      </c>
      <c r="F2038">
        <v>18</v>
      </c>
      <c r="G2038">
        <v>-5</v>
      </c>
      <c r="H2038">
        <v>0</v>
      </c>
      <c r="I2038" t="s">
        <v>24</v>
      </c>
    </row>
    <row r="2039" spans="1:9">
      <c r="A2039" t="s">
        <v>35</v>
      </c>
      <c r="B2039" t="s">
        <v>18</v>
      </c>
      <c r="C2039">
        <v>2020</v>
      </c>
      <c r="D2039" t="s">
        <v>124</v>
      </c>
      <c r="E2039">
        <v>15</v>
      </c>
      <c r="F2039">
        <v>10</v>
      </c>
      <c r="G2039">
        <v>5</v>
      </c>
      <c r="H2039">
        <v>1</v>
      </c>
      <c r="I2039" t="s">
        <v>12</v>
      </c>
    </row>
    <row r="2040" spans="1:9">
      <c r="A2040" t="s">
        <v>101</v>
      </c>
      <c r="B2040" t="s">
        <v>36</v>
      </c>
      <c r="C2040">
        <v>2020</v>
      </c>
      <c r="D2040" t="s">
        <v>124</v>
      </c>
      <c r="E2040">
        <v>20</v>
      </c>
      <c r="F2040">
        <v>16</v>
      </c>
      <c r="G2040">
        <v>4</v>
      </c>
      <c r="H2040">
        <v>0</v>
      </c>
      <c r="I2040" t="s">
        <v>24</v>
      </c>
    </row>
    <row r="2041" spans="1:9">
      <c r="A2041" t="s">
        <v>114</v>
      </c>
      <c r="B2041" t="s">
        <v>87</v>
      </c>
      <c r="C2041">
        <v>2020</v>
      </c>
      <c r="D2041" t="s">
        <v>140</v>
      </c>
      <c r="E2041">
        <v>18</v>
      </c>
      <c r="F2041">
        <v>14</v>
      </c>
      <c r="G2041">
        <v>4</v>
      </c>
      <c r="H2041">
        <v>0</v>
      </c>
      <c r="I2041" t="s">
        <v>12</v>
      </c>
    </row>
    <row r="2042" spans="1:9">
      <c r="A2042" t="s">
        <v>100</v>
      </c>
      <c r="B2042" t="s">
        <v>27</v>
      </c>
      <c r="C2042">
        <v>2020</v>
      </c>
      <c r="D2042" t="s">
        <v>140</v>
      </c>
      <c r="E2042">
        <v>13</v>
      </c>
      <c r="F2042">
        <v>12</v>
      </c>
      <c r="G2042">
        <v>1</v>
      </c>
      <c r="H2042">
        <v>0</v>
      </c>
      <c r="I2042" t="s">
        <v>12</v>
      </c>
    </row>
    <row r="2043" spans="1:9">
      <c r="A2043" t="s">
        <v>17</v>
      </c>
      <c r="B2043" t="s">
        <v>129</v>
      </c>
      <c r="C2043">
        <v>2020</v>
      </c>
      <c r="D2043" t="s">
        <v>140</v>
      </c>
      <c r="E2043">
        <v>5</v>
      </c>
      <c r="F2043">
        <v>1</v>
      </c>
      <c r="G2043">
        <v>4</v>
      </c>
      <c r="H2043">
        <v>25</v>
      </c>
      <c r="I2043" t="s">
        <v>12</v>
      </c>
    </row>
    <row r="2044" spans="1:9">
      <c r="A2044" t="s">
        <v>46</v>
      </c>
      <c r="B2044" t="s">
        <v>130</v>
      </c>
      <c r="C2044">
        <v>2020</v>
      </c>
      <c r="D2044" t="s">
        <v>140</v>
      </c>
      <c r="E2044">
        <v>7</v>
      </c>
      <c r="F2044">
        <v>5</v>
      </c>
      <c r="G2044">
        <v>2</v>
      </c>
      <c r="H2044">
        <v>10</v>
      </c>
      <c r="I2044" t="s">
        <v>12</v>
      </c>
    </row>
    <row r="2045" spans="1:9">
      <c r="A2045" t="s">
        <v>20</v>
      </c>
      <c r="B2045" t="s">
        <v>10</v>
      </c>
      <c r="C2045">
        <v>2020</v>
      </c>
      <c r="D2045" t="s">
        <v>140</v>
      </c>
      <c r="E2045">
        <v>1</v>
      </c>
      <c r="F2045">
        <v>8</v>
      </c>
      <c r="G2045">
        <v>-7</v>
      </c>
      <c r="H2045">
        <v>4</v>
      </c>
      <c r="I2045" t="s">
        <v>12</v>
      </c>
    </row>
    <row r="2046" spans="1:9">
      <c r="A2046" t="s">
        <v>23</v>
      </c>
      <c r="B2046" t="s">
        <v>16</v>
      </c>
      <c r="C2046">
        <v>2020</v>
      </c>
      <c r="D2046" t="s">
        <v>140</v>
      </c>
      <c r="E2046">
        <v>15</v>
      </c>
      <c r="F2046">
        <v>15</v>
      </c>
      <c r="G2046">
        <v>0</v>
      </c>
      <c r="H2046">
        <v>0</v>
      </c>
      <c r="I2046" t="s">
        <v>12</v>
      </c>
    </row>
    <row r="2047" spans="1:9">
      <c r="A2047" t="s">
        <v>131</v>
      </c>
      <c r="B2047" t="s">
        <v>86</v>
      </c>
      <c r="C2047">
        <v>2020</v>
      </c>
      <c r="D2047" t="s">
        <v>140</v>
      </c>
      <c r="E2047">
        <v>6</v>
      </c>
      <c r="F2047">
        <v>7</v>
      </c>
      <c r="G2047">
        <v>-1</v>
      </c>
      <c r="H2047">
        <v>6</v>
      </c>
      <c r="I2047" t="s">
        <v>12</v>
      </c>
    </row>
    <row r="2048" spans="1:9">
      <c r="A2048" t="s">
        <v>25</v>
      </c>
      <c r="B2048" t="s">
        <v>18</v>
      </c>
      <c r="C2048">
        <v>2020</v>
      </c>
      <c r="D2048" t="s">
        <v>140</v>
      </c>
      <c r="E2048">
        <v>3</v>
      </c>
      <c r="F2048">
        <v>19</v>
      </c>
      <c r="G2048">
        <v>-16</v>
      </c>
      <c r="H2048">
        <v>0</v>
      </c>
      <c r="I2048" t="s">
        <v>49</v>
      </c>
    </row>
    <row r="2049" spans="1:9">
      <c r="A2049" t="s">
        <v>26</v>
      </c>
      <c r="B2049" t="s">
        <v>33</v>
      </c>
      <c r="C2049">
        <v>2020</v>
      </c>
      <c r="D2049" t="s">
        <v>140</v>
      </c>
      <c r="E2049">
        <v>8</v>
      </c>
      <c r="F2049">
        <v>4</v>
      </c>
      <c r="G2049">
        <v>4</v>
      </c>
      <c r="H2049">
        <v>12</v>
      </c>
      <c r="I2049" t="s">
        <v>12</v>
      </c>
    </row>
    <row r="2050" spans="1:9">
      <c r="A2050" t="s">
        <v>48</v>
      </c>
      <c r="B2050" t="s">
        <v>130</v>
      </c>
      <c r="C2050">
        <v>2020</v>
      </c>
      <c r="D2050" t="s">
        <v>140</v>
      </c>
      <c r="E2050">
        <v>11</v>
      </c>
      <c r="F2050">
        <v>2</v>
      </c>
      <c r="G2050">
        <v>9</v>
      </c>
      <c r="H2050">
        <v>18</v>
      </c>
      <c r="I2050" t="s">
        <v>12</v>
      </c>
    </row>
    <row r="2051" spans="1:9">
      <c r="A2051" t="s">
        <v>28</v>
      </c>
      <c r="B2051" t="s">
        <v>129</v>
      </c>
      <c r="C2051">
        <v>2020</v>
      </c>
      <c r="D2051" t="s">
        <v>140</v>
      </c>
      <c r="E2051">
        <v>10</v>
      </c>
      <c r="F2051">
        <v>3</v>
      </c>
      <c r="G2051">
        <v>7</v>
      </c>
      <c r="H2051">
        <v>15</v>
      </c>
      <c r="I2051" t="s">
        <v>12</v>
      </c>
    </row>
    <row r="2052" spans="1:9">
      <c r="A2052" t="s">
        <v>115</v>
      </c>
      <c r="B2052" t="s">
        <v>87</v>
      </c>
      <c r="C2052">
        <v>2020</v>
      </c>
      <c r="D2052" t="s">
        <v>140</v>
      </c>
      <c r="E2052">
        <v>14</v>
      </c>
      <c r="F2052">
        <v>13</v>
      </c>
      <c r="G2052">
        <v>1</v>
      </c>
      <c r="H2052">
        <v>0</v>
      </c>
      <c r="I2052" t="s">
        <v>12</v>
      </c>
    </row>
    <row r="2053" spans="1:9">
      <c r="A2053" t="s">
        <v>29</v>
      </c>
      <c r="B2053" t="s">
        <v>86</v>
      </c>
      <c r="C2053">
        <v>2020</v>
      </c>
      <c r="D2053" t="s">
        <v>140</v>
      </c>
      <c r="E2053">
        <v>9</v>
      </c>
      <c r="F2053">
        <v>11</v>
      </c>
      <c r="G2053">
        <v>-2</v>
      </c>
      <c r="H2053">
        <v>0</v>
      </c>
      <c r="I2053" t="s">
        <v>12</v>
      </c>
    </row>
    <row r="2054" spans="1:9">
      <c r="A2054" t="s">
        <v>31</v>
      </c>
      <c r="B2054" t="s">
        <v>27</v>
      </c>
      <c r="C2054">
        <v>2020</v>
      </c>
      <c r="D2054" t="s">
        <v>140</v>
      </c>
      <c r="E2054">
        <v>4</v>
      </c>
      <c r="F2054">
        <v>20</v>
      </c>
      <c r="G2054">
        <v>-16</v>
      </c>
      <c r="H2054">
        <v>0</v>
      </c>
      <c r="I2054" t="s">
        <v>19</v>
      </c>
    </row>
    <row r="2055" spans="1:9">
      <c r="A2055" t="s">
        <v>32</v>
      </c>
      <c r="B2055" t="s">
        <v>33</v>
      </c>
      <c r="C2055">
        <v>2020</v>
      </c>
      <c r="D2055" t="s">
        <v>140</v>
      </c>
      <c r="E2055">
        <v>19</v>
      </c>
      <c r="F2055">
        <v>10</v>
      </c>
      <c r="G2055">
        <v>9</v>
      </c>
      <c r="H2055">
        <v>1</v>
      </c>
      <c r="I2055" t="s">
        <v>12</v>
      </c>
    </row>
    <row r="2056" spans="1:9">
      <c r="A2056" t="s">
        <v>34</v>
      </c>
      <c r="B2056" t="s">
        <v>10</v>
      </c>
      <c r="C2056">
        <v>2020</v>
      </c>
      <c r="D2056" t="s">
        <v>140</v>
      </c>
      <c r="E2056">
        <v>2</v>
      </c>
      <c r="F2056">
        <v>9</v>
      </c>
      <c r="G2056">
        <v>-7</v>
      </c>
      <c r="H2056">
        <v>3</v>
      </c>
      <c r="I2056" t="s">
        <v>12</v>
      </c>
    </row>
    <row r="2057" spans="1:9">
      <c r="A2057" t="s">
        <v>35</v>
      </c>
      <c r="B2057" t="s">
        <v>18</v>
      </c>
      <c r="C2057">
        <v>2020</v>
      </c>
      <c r="D2057" t="s">
        <v>140</v>
      </c>
      <c r="E2057">
        <v>12</v>
      </c>
      <c r="F2057">
        <v>6</v>
      </c>
      <c r="G2057">
        <v>6</v>
      </c>
      <c r="H2057">
        <v>8</v>
      </c>
      <c r="I2057" t="s">
        <v>12</v>
      </c>
    </row>
    <row r="2058" spans="1:9">
      <c r="A2058" t="s">
        <v>101</v>
      </c>
      <c r="B2058" t="s">
        <v>36</v>
      </c>
      <c r="C2058">
        <v>2020</v>
      </c>
      <c r="D2058" t="s">
        <v>140</v>
      </c>
      <c r="E2058">
        <v>16</v>
      </c>
      <c r="F2058">
        <v>18</v>
      </c>
      <c r="G2058">
        <v>-2</v>
      </c>
      <c r="H2058">
        <v>0</v>
      </c>
      <c r="I2058" t="s">
        <v>42</v>
      </c>
    </row>
    <row r="2059" spans="1:9">
      <c r="A2059" t="s">
        <v>133</v>
      </c>
      <c r="B2059" t="s">
        <v>16</v>
      </c>
      <c r="C2059">
        <v>2020</v>
      </c>
      <c r="D2059" t="s">
        <v>140</v>
      </c>
      <c r="E2059">
        <v>20</v>
      </c>
      <c r="F2059">
        <v>17</v>
      </c>
      <c r="G2059">
        <v>3</v>
      </c>
      <c r="H2059">
        <v>0</v>
      </c>
      <c r="I2059" t="s">
        <v>12</v>
      </c>
    </row>
    <row r="2060" spans="1:9">
      <c r="A2060" t="s">
        <v>141</v>
      </c>
      <c r="B2060" t="s">
        <v>36</v>
      </c>
      <c r="C2060">
        <v>2020</v>
      </c>
      <c r="D2060" t="s">
        <v>140</v>
      </c>
      <c r="E2060">
        <v>17</v>
      </c>
      <c r="F2060">
        <v>16</v>
      </c>
      <c r="G2060">
        <v>1</v>
      </c>
      <c r="H2060">
        <v>0</v>
      </c>
      <c r="I2060" t="s">
        <v>12</v>
      </c>
    </row>
    <row r="2061" spans="1:9">
      <c r="A2061" t="s">
        <v>9</v>
      </c>
      <c r="B2061" t="s">
        <v>10</v>
      </c>
      <c r="C2061">
        <v>2020</v>
      </c>
      <c r="D2061" t="s">
        <v>82</v>
      </c>
      <c r="E2061">
        <v>1</v>
      </c>
      <c r="F2061">
        <v>1</v>
      </c>
      <c r="G2061">
        <v>0</v>
      </c>
      <c r="H2061">
        <v>25</v>
      </c>
      <c r="I2061" t="s">
        <v>12</v>
      </c>
    </row>
    <row r="2062" spans="1:9">
      <c r="A2062" t="s">
        <v>114</v>
      </c>
      <c r="B2062" t="s">
        <v>87</v>
      </c>
      <c r="C2062">
        <v>2020</v>
      </c>
      <c r="D2062" t="s">
        <v>82</v>
      </c>
      <c r="E2062">
        <v>14</v>
      </c>
      <c r="F2062">
        <v>14</v>
      </c>
      <c r="G2062">
        <v>0</v>
      </c>
      <c r="H2062">
        <v>0</v>
      </c>
      <c r="I2062" t="s">
        <v>24</v>
      </c>
    </row>
    <row r="2063" spans="1:9">
      <c r="A2063" t="s">
        <v>100</v>
      </c>
      <c r="B2063" t="s">
        <v>27</v>
      </c>
      <c r="C2063">
        <v>2020</v>
      </c>
      <c r="D2063" t="s">
        <v>82</v>
      </c>
      <c r="E2063">
        <v>11</v>
      </c>
      <c r="F2063">
        <v>7</v>
      </c>
      <c r="G2063">
        <v>4</v>
      </c>
      <c r="H2063">
        <v>6</v>
      </c>
      <c r="I2063" t="s">
        <v>24</v>
      </c>
    </row>
    <row r="2064" spans="1:9">
      <c r="A2064" t="s">
        <v>128</v>
      </c>
      <c r="B2064" t="s">
        <v>16</v>
      </c>
      <c r="C2064">
        <v>2020</v>
      </c>
      <c r="D2064" t="s">
        <v>82</v>
      </c>
      <c r="E2064">
        <v>17</v>
      </c>
      <c r="F2064">
        <v>19</v>
      </c>
      <c r="G2064">
        <v>-2</v>
      </c>
      <c r="H2064">
        <v>0</v>
      </c>
      <c r="I2064" t="s">
        <v>53</v>
      </c>
    </row>
    <row r="2065" spans="1:9">
      <c r="A2065" t="s">
        <v>17</v>
      </c>
      <c r="B2065" t="s">
        <v>129</v>
      </c>
      <c r="C2065">
        <v>2020</v>
      </c>
      <c r="D2065" t="s">
        <v>82</v>
      </c>
      <c r="E2065">
        <v>4</v>
      </c>
      <c r="F2065">
        <v>5</v>
      </c>
      <c r="G2065">
        <v>-1</v>
      </c>
      <c r="H2065">
        <v>10</v>
      </c>
      <c r="I2065" t="s">
        <v>24</v>
      </c>
    </row>
    <row r="2066" spans="1:9">
      <c r="A2066" t="s">
        <v>46</v>
      </c>
      <c r="B2066" t="s">
        <v>130</v>
      </c>
      <c r="C2066">
        <v>2020</v>
      </c>
      <c r="D2066" t="s">
        <v>82</v>
      </c>
      <c r="E2066">
        <v>13</v>
      </c>
      <c r="F2066">
        <v>11</v>
      </c>
      <c r="G2066">
        <v>2</v>
      </c>
      <c r="H2066">
        <v>0</v>
      </c>
      <c r="I2066" t="s">
        <v>24</v>
      </c>
    </row>
    <row r="2067" spans="1:9">
      <c r="A2067" t="s">
        <v>20</v>
      </c>
      <c r="B2067" t="s">
        <v>10</v>
      </c>
      <c r="C2067">
        <v>2020</v>
      </c>
      <c r="D2067" t="s">
        <v>82</v>
      </c>
      <c r="E2067">
        <v>2</v>
      </c>
      <c r="F2067">
        <v>3</v>
      </c>
      <c r="G2067">
        <v>-1</v>
      </c>
      <c r="H2067">
        <v>16</v>
      </c>
      <c r="I2067" t="s">
        <v>12</v>
      </c>
    </row>
    <row r="2068" spans="1:9">
      <c r="A2068" t="s">
        <v>23</v>
      </c>
      <c r="B2068" t="s">
        <v>16</v>
      </c>
      <c r="C2068">
        <v>2020</v>
      </c>
      <c r="D2068" t="s">
        <v>82</v>
      </c>
      <c r="E2068">
        <v>16</v>
      </c>
      <c r="F2068">
        <v>15</v>
      </c>
      <c r="G2068">
        <v>1</v>
      </c>
      <c r="H2068">
        <v>0</v>
      </c>
      <c r="I2068" t="s">
        <v>24</v>
      </c>
    </row>
    <row r="2069" spans="1:9">
      <c r="A2069" t="s">
        <v>131</v>
      </c>
      <c r="B2069" t="s">
        <v>86</v>
      </c>
      <c r="C2069">
        <v>2020</v>
      </c>
      <c r="D2069" t="s">
        <v>82</v>
      </c>
      <c r="E2069">
        <v>12</v>
      </c>
      <c r="F2069">
        <v>12</v>
      </c>
      <c r="G2069">
        <v>0</v>
      </c>
      <c r="H2069">
        <v>0</v>
      </c>
      <c r="I2069" t="s">
        <v>24</v>
      </c>
    </row>
    <row r="2070" spans="1:9">
      <c r="A2070" t="s">
        <v>25</v>
      </c>
      <c r="B2070" t="s">
        <v>18</v>
      </c>
      <c r="C2070">
        <v>2020</v>
      </c>
      <c r="D2070" t="s">
        <v>82</v>
      </c>
      <c r="E2070">
        <v>3</v>
      </c>
      <c r="F2070">
        <v>2</v>
      </c>
      <c r="G2070">
        <v>1</v>
      </c>
      <c r="H2070">
        <v>18</v>
      </c>
      <c r="I2070" t="s">
        <v>12</v>
      </c>
    </row>
    <row r="2071" spans="1:9">
      <c r="A2071" t="s">
        <v>26</v>
      </c>
      <c r="B2071" t="s">
        <v>33</v>
      </c>
      <c r="C2071">
        <v>2020</v>
      </c>
      <c r="D2071" t="s">
        <v>82</v>
      </c>
      <c r="E2071">
        <v>7</v>
      </c>
      <c r="F2071">
        <v>6</v>
      </c>
      <c r="G2071">
        <v>1</v>
      </c>
      <c r="H2071">
        <v>8</v>
      </c>
      <c r="I2071" t="s">
        <v>24</v>
      </c>
    </row>
    <row r="2072" spans="1:9">
      <c r="A2072" t="s">
        <v>48</v>
      </c>
      <c r="B2072" t="s">
        <v>130</v>
      </c>
      <c r="C2072">
        <v>2020</v>
      </c>
      <c r="D2072" t="s">
        <v>82</v>
      </c>
      <c r="E2072">
        <v>15</v>
      </c>
      <c r="F2072">
        <v>13</v>
      </c>
      <c r="G2072">
        <v>2</v>
      </c>
      <c r="H2072">
        <v>0</v>
      </c>
      <c r="I2072" t="s">
        <v>24</v>
      </c>
    </row>
    <row r="2073" spans="1:9">
      <c r="A2073" t="s">
        <v>28</v>
      </c>
      <c r="B2073" t="s">
        <v>129</v>
      </c>
      <c r="C2073">
        <v>2020</v>
      </c>
      <c r="D2073" t="s">
        <v>82</v>
      </c>
      <c r="E2073">
        <v>5</v>
      </c>
      <c r="F2073">
        <v>4</v>
      </c>
      <c r="G2073">
        <v>1</v>
      </c>
      <c r="H2073">
        <v>12</v>
      </c>
      <c r="I2073" t="s">
        <v>24</v>
      </c>
    </row>
    <row r="2074" spans="1:9">
      <c r="A2074" t="s">
        <v>115</v>
      </c>
      <c r="B2074" t="s">
        <v>87</v>
      </c>
      <c r="C2074">
        <v>2020</v>
      </c>
      <c r="D2074" t="s">
        <v>82</v>
      </c>
      <c r="E2074">
        <v>20</v>
      </c>
      <c r="F2074">
        <v>16</v>
      </c>
      <c r="G2074">
        <v>4</v>
      </c>
      <c r="H2074">
        <v>0</v>
      </c>
      <c r="I2074" t="s">
        <v>24</v>
      </c>
    </row>
    <row r="2075" spans="1:9">
      <c r="A2075" t="s">
        <v>29</v>
      </c>
      <c r="B2075" t="s">
        <v>86</v>
      </c>
      <c r="C2075">
        <v>2020</v>
      </c>
      <c r="D2075" t="s">
        <v>82</v>
      </c>
      <c r="E2075">
        <v>10</v>
      </c>
      <c r="F2075">
        <v>9</v>
      </c>
      <c r="G2075">
        <v>1</v>
      </c>
      <c r="H2075">
        <v>2</v>
      </c>
      <c r="I2075" t="s">
        <v>24</v>
      </c>
    </row>
    <row r="2076" spans="1:9">
      <c r="A2076" t="s">
        <v>31</v>
      </c>
      <c r="B2076" t="s">
        <v>27</v>
      </c>
      <c r="C2076">
        <v>2020</v>
      </c>
      <c r="D2076" t="s">
        <v>82</v>
      </c>
      <c r="E2076">
        <v>9</v>
      </c>
      <c r="F2076">
        <v>20</v>
      </c>
      <c r="G2076">
        <v>-11</v>
      </c>
      <c r="H2076">
        <v>0</v>
      </c>
      <c r="I2076" t="s">
        <v>135</v>
      </c>
    </row>
    <row r="2077" spans="1:9">
      <c r="A2077" t="s">
        <v>32</v>
      </c>
      <c r="B2077" t="s">
        <v>33</v>
      </c>
      <c r="C2077">
        <v>2020</v>
      </c>
      <c r="D2077" t="s">
        <v>82</v>
      </c>
      <c r="E2077">
        <v>8</v>
      </c>
      <c r="F2077">
        <v>10</v>
      </c>
      <c r="G2077">
        <v>-2</v>
      </c>
      <c r="H2077">
        <v>1</v>
      </c>
      <c r="I2077" t="s">
        <v>24</v>
      </c>
    </row>
    <row r="2078" spans="1:9">
      <c r="A2078" t="s">
        <v>34</v>
      </c>
      <c r="B2078" t="s">
        <v>36</v>
      </c>
      <c r="C2078">
        <v>2020</v>
      </c>
      <c r="D2078" t="s">
        <v>82</v>
      </c>
      <c r="E2078">
        <v>18</v>
      </c>
      <c r="F2078">
        <v>17</v>
      </c>
      <c r="G2078">
        <v>1</v>
      </c>
      <c r="H2078">
        <v>0</v>
      </c>
      <c r="I2078" t="s">
        <v>24</v>
      </c>
    </row>
    <row r="2079" spans="1:9">
      <c r="A2079" t="s">
        <v>35</v>
      </c>
      <c r="B2079" t="s">
        <v>18</v>
      </c>
      <c r="C2079">
        <v>2020</v>
      </c>
      <c r="D2079" t="s">
        <v>82</v>
      </c>
      <c r="E2079">
        <v>6</v>
      </c>
      <c r="F2079">
        <v>8</v>
      </c>
      <c r="G2079">
        <v>-2</v>
      </c>
      <c r="H2079">
        <v>4</v>
      </c>
      <c r="I2079" t="s">
        <v>24</v>
      </c>
    </row>
    <row r="2080" spans="1:9">
      <c r="A2080" t="s">
        <v>101</v>
      </c>
      <c r="B2080" t="s">
        <v>36</v>
      </c>
      <c r="C2080">
        <v>2020</v>
      </c>
      <c r="D2080" t="s">
        <v>82</v>
      </c>
      <c r="E2080">
        <v>19</v>
      </c>
      <c r="F2080">
        <v>18</v>
      </c>
      <c r="G2080">
        <v>1</v>
      </c>
      <c r="H2080">
        <v>0</v>
      </c>
      <c r="I2080" t="s">
        <v>53</v>
      </c>
    </row>
    <row r="2081" spans="1:9">
      <c r="A2081" t="s">
        <v>9</v>
      </c>
      <c r="B2081" t="s">
        <v>10</v>
      </c>
      <c r="C2081">
        <v>2020</v>
      </c>
      <c r="D2081" t="s">
        <v>125</v>
      </c>
      <c r="E2081">
        <v>1</v>
      </c>
      <c r="F2081">
        <v>1</v>
      </c>
      <c r="G2081">
        <v>0</v>
      </c>
      <c r="H2081">
        <v>25</v>
      </c>
      <c r="I2081" t="s">
        <v>12</v>
      </c>
    </row>
    <row r="2082" spans="1:9">
      <c r="A2082" t="s">
        <v>114</v>
      </c>
      <c r="B2082" t="s">
        <v>87</v>
      </c>
      <c r="C2082">
        <v>2020</v>
      </c>
      <c r="D2082" t="s">
        <v>125</v>
      </c>
      <c r="E2082">
        <v>16</v>
      </c>
      <c r="F2082">
        <v>11</v>
      </c>
      <c r="G2082">
        <v>5</v>
      </c>
      <c r="H2082">
        <v>0</v>
      </c>
      <c r="I2082" t="s">
        <v>24</v>
      </c>
    </row>
    <row r="2083" spans="1:9">
      <c r="A2083" t="s">
        <v>100</v>
      </c>
      <c r="B2083" t="s">
        <v>27</v>
      </c>
      <c r="C2083">
        <v>2020</v>
      </c>
      <c r="D2083" t="s">
        <v>125</v>
      </c>
      <c r="E2083">
        <v>10</v>
      </c>
      <c r="F2083">
        <v>20</v>
      </c>
      <c r="G2083">
        <v>-10</v>
      </c>
      <c r="H2083">
        <v>0</v>
      </c>
      <c r="I2083" t="s">
        <v>22</v>
      </c>
    </row>
    <row r="2084" spans="1:9">
      <c r="A2084" t="s">
        <v>128</v>
      </c>
      <c r="B2084" t="s">
        <v>16</v>
      </c>
      <c r="C2084">
        <v>2020</v>
      </c>
      <c r="D2084" t="s">
        <v>125</v>
      </c>
      <c r="E2084">
        <v>0</v>
      </c>
      <c r="F2084">
        <v>13</v>
      </c>
      <c r="G2084">
        <v>-13</v>
      </c>
      <c r="H2084">
        <v>0</v>
      </c>
      <c r="I2084" t="s">
        <v>24</v>
      </c>
    </row>
    <row r="2085" spans="1:9">
      <c r="A2085" t="s">
        <v>17</v>
      </c>
      <c r="B2085" t="s">
        <v>129</v>
      </c>
      <c r="C2085">
        <v>2020</v>
      </c>
      <c r="D2085" t="s">
        <v>125</v>
      </c>
      <c r="E2085">
        <v>17</v>
      </c>
      <c r="F2085">
        <v>6</v>
      </c>
      <c r="G2085">
        <v>11</v>
      </c>
      <c r="H2085">
        <v>8</v>
      </c>
      <c r="I2085" t="s">
        <v>12</v>
      </c>
    </row>
    <row r="2086" spans="1:9">
      <c r="A2086" t="s">
        <v>46</v>
      </c>
      <c r="B2086" t="s">
        <v>130</v>
      </c>
      <c r="C2086">
        <v>2020</v>
      </c>
      <c r="D2086" t="s">
        <v>125</v>
      </c>
      <c r="E2086">
        <v>8</v>
      </c>
      <c r="F2086">
        <v>8</v>
      </c>
      <c r="G2086">
        <v>0</v>
      </c>
      <c r="H2086">
        <v>4</v>
      </c>
      <c r="I2086" t="s">
        <v>12</v>
      </c>
    </row>
    <row r="2087" spans="1:9">
      <c r="A2087" t="s">
        <v>20</v>
      </c>
      <c r="B2087" t="s">
        <v>10</v>
      </c>
      <c r="C2087">
        <v>2020</v>
      </c>
      <c r="D2087" t="s">
        <v>125</v>
      </c>
      <c r="E2087">
        <v>4</v>
      </c>
      <c r="F2087">
        <v>2</v>
      </c>
      <c r="G2087">
        <v>2</v>
      </c>
      <c r="H2087">
        <v>18</v>
      </c>
      <c r="I2087" t="s">
        <v>12</v>
      </c>
    </row>
    <row r="2088" spans="1:9">
      <c r="A2088" t="s">
        <v>23</v>
      </c>
      <c r="B2088" t="s">
        <v>16</v>
      </c>
      <c r="C2088">
        <v>2020</v>
      </c>
      <c r="D2088" t="s">
        <v>125</v>
      </c>
      <c r="E2088">
        <v>15</v>
      </c>
      <c r="F2088">
        <v>12</v>
      </c>
      <c r="G2088">
        <v>3</v>
      </c>
      <c r="H2088">
        <v>0</v>
      </c>
      <c r="I2088" t="s">
        <v>24</v>
      </c>
    </row>
    <row r="2089" spans="1:9">
      <c r="A2089" t="s">
        <v>131</v>
      </c>
      <c r="B2089" t="s">
        <v>86</v>
      </c>
      <c r="C2089">
        <v>2020</v>
      </c>
      <c r="D2089" t="s">
        <v>125</v>
      </c>
      <c r="E2089">
        <v>13</v>
      </c>
      <c r="F2089">
        <v>10</v>
      </c>
      <c r="G2089">
        <v>3</v>
      </c>
      <c r="H2089">
        <v>1</v>
      </c>
      <c r="I2089" t="s">
        <v>24</v>
      </c>
    </row>
    <row r="2090" spans="1:9">
      <c r="A2090" t="s">
        <v>25</v>
      </c>
      <c r="B2090" t="s">
        <v>18</v>
      </c>
      <c r="C2090">
        <v>2020</v>
      </c>
      <c r="D2090" t="s">
        <v>125</v>
      </c>
      <c r="E2090">
        <v>2</v>
      </c>
      <c r="F2090">
        <v>3</v>
      </c>
      <c r="G2090">
        <v>-1</v>
      </c>
      <c r="H2090">
        <v>15</v>
      </c>
      <c r="I2090" t="s">
        <v>12</v>
      </c>
    </row>
    <row r="2091" spans="1:9">
      <c r="A2091" t="s">
        <v>26</v>
      </c>
      <c r="B2091" t="s">
        <v>33</v>
      </c>
      <c r="C2091">
        <v>2020</v>
      </c>
      <c r="D2091" t="s">
        <v>125</v>
      </c>
      <c r="E2091">
        <v>3</v>
      </c>
      <c r="F2091">
        <v>9</v>
      </c>
      <c r="G2091">
        <v>-6</v>
      </c>
      <c r="H2091">
        <v>3</v>
      </c>
      <c r="I2091" t="s">
        <v>24</v>
      </c>
    </row>
    <row r="2092" spans="1:9">
      <c r="A2092" t="s">
        <v>48</v>
      </c>
      <c r="B2092" t="s">
        <v>130</v>
      </c>
      <c r="C2092">
        <v>2020</v>
      </c>
      <c r="D2092" t="s">
        <v>125</v>
      </c>
      <c r="E2092">
        <v>5</v>
      </c>
      <c r="F2092">
        <v>18</v>
      </c>
      <c r="G2092">
        <v>-13</v>
      </c>
      <c r="H2092">
        <v>0</v>
      </c>
      <c r="I2092" t="s">
        <v>70</v>
      </c>
    </row>
    <row r="2093" spans="1:9">
      <c r="A2093" t="s">
        <v>28</v>
      </c>
      <c r="B2093" t="s">
        <v>129</v>
      </c>
      <c r="C2093">
        <v>2020</v>
      </c>
      <c r="D2093" t="s">
        <v>125</v>
      </c>
      <c r="E2093">
        <v>12</v>
      </c>
      <c r="F2093">
        <v>7</v>
      </c>
      <c r="G2093">
        <v>5</v>
      </c>
      <c r="H2093">
        <v>6</v>
      </c>
      <c r="I2093" t="s">
        <v>12</v>
      </c>
    </row>
    <row r="2094" spans="1:9">
      <c r="A2094" t="s">
        <v>115</v>
      </c>
      <c r="B2094" t="s">
        <v>87</v>
      </c>
      <c r="C2094">
        <v>2020</v>
      </c>
      <c r="D2094" t="s">
        <v>125</v>
      </c>
      <c r="E2094">
        <v>19</v>
      </c>
      <c r="F2094">
        <v>14</v>
      </c>
      <c r="G2094">
        <v>5</v>
      </c>
      <c r="H2094">
        <v>0</v>
      </c>
      <c r="I2094" t="s">
        <v>24</v>
      </c>
    </row>
    <row r="2095" spans="1:9">
      <c r="A2095" t="s">
        <v>29</v>
      </c>
      <c r="B2095" t="s">
        <v>86</v>
      </c>
      <c r="C2095">
        <v>2020</v>
      </c>
      <c r="D2095" t="s">
        <v>125</v>
      </c>
      <c r="E2095">
        <v>7</v>
      </c>
      <c r="F2095">
        <v>15</v>
      </c>
      <c r="G2095">
        <v>-8</v>
      </c>
      <c r="H2095">
        <v>0</v>
      </c>
      <c r="I2095" t="s">
        <v>24</v>
      </c>
    </row>
    <row r="2096" spans="1:9">
      <c r="A2096" t="s">
        <v>31</v>
      </c>
      <c r="B2096" t="s">
        <v>27</v>
      </c>
      <c r="C2096">
        <v>2020</v>
      </c>
      <c r="D2096" t="s">
        <v>125</v>
      </c>
      <c r="E2096">
        <v>14</v>
      </c>
      <c r="F2096">
        <v>19</v>
      </c>
      <c r="G2096">
        <v>-5</v>
      </c>
      <c r="H2096">
        <v>0</v>
      </c>
      <c r="I2096" t="s">
        <v>22</v>
      </c>
    </row>
    <row r="2097" spans="1:9">
      <c r="A2097" t="s">
        <v>32</v>
      </c>
      <c r="B2097" t="s">
        <v>33</v>
      </c>
      <c r="C2097">
        <v>2020</v>
      </c>
      <c r="D2097" t="s">
        <v>125</v>
      </c>
      <c r="E2097">
        <v>9</v>
      </c>
      <c r="F2097">
        <v>5</v>
      </c>
      <c r="G2097">
        <v>4</v>
      </c>
      <c r="H2097">
        <v>10</v>
      </c>
      <c r="I2097" t="s">
        <v>12</v>
      </c>
    </row>
    <row r="2098" spans="1:9">
      <c r="A2098" t="s">
        <v>34</v>
      </c>
      <c r="B2098" t="s">
        <v>36</v>
      </c>
      <c r="C2098">
        <v>2020</v>
      </c>
      <c r="D2098" t="s">
        <v>125</v>
      </c>
      <c r="E2098">
        <v>11</v>
      </c>
      <c r="F2098">
        <v>16</v>
      </c>
      <c r="G2098">
        <v>-5</v>
      </c>
      <c r="H2098">
        <v>0</v>
      </c>
      <c r="I2098" t="s">
        <v>53</v>
      </c>
    </row>
    <row r="2099" spans="1:9">
      <c r="A2099" t="s">
        <v>35</v>
      </c>
      <c r="B2099" t="s">
        <v>18</v>
      </c>
      <c r="C2099">
        <v>2020</v>
      </c>
      <c r="D2099" t="s">
        <v>125</v>
      </c>
      <c r="E2099">
        <v>6</v>
      </c>
      <c r="F2099">
        <v>4</v>
      </c>
      <c r="G2099">
        <v>2</v>
      </c>
      <c r="H2099">
        <v>12</v>
      </c>
      <c r="I2099" t="s">
        <v>12</v>
      </c>
    </row>
    <row r="2100" spans="1:9">
      <c r="A2100" t="s">
        <v>101</v>
      </c>
      <c r="B2100" t="s">
        <v>36</v>
      </c>
      <c r="C2100">
        <v>2020</v>
      </c>
      <c r="D2100" t="s">
        <v>125</v>
      </c>
      <c r="E2100">
        <v>18</v>
      </c>
      <c r="F2100">
        <v>17</v>
      </c>
      <c r="G2100">
        <v>1</v>
      </c>
      <c r="H2100">
        <v>0</v>
      </c>
      <c r="I2100" t="s">
        <v>53</v>
      </c>
    </row>
    <row r="2101" spans="1:9">
      <c r="A2101" t="s">
        <v>9</v>
      </c>
      <c r="B2101" t="s">
        <v>10</v>
      </c>
      <c r="C2101">
        <v>2020</v>
      </c>
      <c r="D2101" t="s">
        <v>126</v>
      </c>
      <c r="E2101">
        <v>6</v>
      </c>
      <c r="F2101">
        <v>1</v>
      </c>
      <c r="G2101">
        <v>5</v>
      </c>
      <c r="H2101">
        <v>25</v>
      </c>
      <c r="I2101" t="s">
        <v>12</v>
      </c>
    </row>
    <row r="2102" spans="1:9">
      <c r="A2102" t="s">
        <v>114</v>
      </c>
      <c r="B2102" t="s">
        <v>87</v>
      </c>
      <c r="C2102">
        <v>2020</v>
      </c>
      <c r="D2102" t="s">
        <v>126</v>
      </c>
      <c r="E2102">
        <v>8</v>
      </c>
      <c r="F2102">
        <v>15</v>
      </c>
      <c r="G2102">
        <v>-7</v>
      </c>
      <c r="H2102">
        <v>0</v>
      </c>
      <c r="I2102" t="s">
        <v>24</v>
      </c>
    </row>
    <row r="2103" spans="1:9">
      <c r="A2103" t="s">
        <v>100</v>
      </c>
      <c r="B2103" t="s">
        <v>27</v>
      </c>
      <c r="C2103">
        <v>2020</v>
      </c>
      <c r="D2103" t="s">
        <v>126</v>
      </c>
      <c r="E2103">
        <v>11</v>
      </c>
      <c r="F2103">
        <v>3</v>
      </c>
      <c r="G2103">
        <v>8</v>
      </c>
      <c r="H2103">
        <v>15</v>
      </c>
      <c r="I2103" t="s">
        <v>12</v>
      </c>
    </row>
    <row r="2104" spans="1:9">
      <c r="A2104" t="s">
        <v>128</v>
      </c>
      <c r="B2104" t="s">
        <v>16</v>
      </c>
      <c r="C2104">
        <v>2020</v>
      </c>
      <c r="D2104" t="s">
        <v>126</v>
      </c>
      <c r="E2104">
        <v>17</v>
      </c>
      <c r="F2104">
        <v>18</v>
      </c>
      <c r="G2104">
        <v>-1</v>
      </c>
      <c r="H2104">
        <v>0</v>
      </c>
      <c r="I2104" t="s">
        <v>22</v>
      </c>
    </row>
    <row r="2105" spans="1:9">
      <c r="A2105" t="s">
        <v>17</v>
      </c>
      <c r="B2105" t="s">
        <v>129</v>
      </c>
      <c r="C2105">
        <v>2020</v>
      </c>
      <c r="D2105" t="s">
        <v>126</v>
      </c>
      <c r="E2105">
        <v>3</v>
      </c>
      <c r="F2105">
        <v>2</v>
      </c>
      <c r="G2105">
        <v>1</v>
      </c>
      <c r="H2105">
        <v>18</v>
      </c>
      <c r="I2105" t="s">
        <v>12</v>
      </c>
    </row>
    <row r="2106" spans="1:9">
      <c r="A2106" t="s">
        <v>46</v>
      </c>
      <c r="B2106" t="s">
        <v>130</v>
      </c>
      <c r="C2106">
        <v>2020</v>
      </c>
      <c r="D2106" t="s">
        <v>126</v>
      </c>
      <c r="E2106">
        <v>5</v>
      </c>
      <c r="F2106">
        <v>10</v>
      </c>
      <c r="G2106">
        <v>-5</v>
      </c>
      <c r="H2106">
        <v>1</v>
      </c>
      <c r="I2106" t="s">
        <v>12</v>
      </c>
    </row>
    <row r="2107" spans="1:9">
      <c r="A2107" t="s">
        <v>20</v>
      </c>
      <c r="B2107" t="s">
        <v>10</v>
      </c>
      <c r="C2107">
        <v>2020</v>
      </c>
      <c r="D2107" t="s">
        <v>126</v>
      </c>
      <c r="E2107">
        <v>9</v>
      </c>
      <c r="F2107">
        <v>14</v>
      </c>
      <c r="G2107">
        <v>-5</v>
      </c>
      <c r="H2107">
        <v>0</v>
      </c>
      <c r="I2107" t="s">
        <v>24</v>
      </c>
    </row>
    <row r="2108" spans="1:9">
      <c r="A2108" t="s">
        <v>23</v>
      </c>
      <c r="B2108" t="s">
        <v>16</v>
      </c>
      <c r="C2108">
        <v>2020</v>
      </c>
      <c r="D2108" t="s">
        <v>126</v>
      </c>
      <c r="E2108">
        <v>13</v>
      </c>
      <c r="F2108">
        <v>17</v>
      </c>
      <c r="G2108">
        <v>-4</v>
      </c>
      <c r="H2108">
        <v>0</v>
      </c>
      <c r="I2108" t="s">
        <v>84</v>
      </c>
    </row>
    <row r="2109" spans="1:9">
      <c r="A2109" t="s">
        <v>131</v>
      </c>
      <c r="B2109" t="s">
        <v>86</v>
      </c>
      <c r="C2109">
        <v>2020</v>
      </c>
      <c r="D2109" t="s">
        <v>126</v>
      </c>
      <c r="E2109">
        <v>16</v>
      </c>
      <c r="F2109">
        <v>12</v>
      </c>
      <c r="G2109">
        <v>4</v>
      </c>
      <c r="H2109">
        <v>0</v>
      </c>
      <c r="I2109" t="s">
        <v>24</v>
      </c>
    </row>
    <row r="2110" spans="1:9">
      <c r="A2110" t="s">
        <v>25</v>
      </c>
      <c r="B2110" t="s">
        <v>18</v>
      </c>
      <c r="C2110">
        <v>2020</v>
      </c>
      <c r="D2110" t="s">
        <v>126</v>
      </c>
      <c r="E2110">
        <v>2</v>
      </c>
      <c r="F2110">
        <v>6</v>
      </c>
      <c r="G2110">
        <v>-4</v>
      </c>
      <c r="H2110">
        <v>8</v>
      </c>
      <c r="I2110" t="s">
        <v>12</v>
      </c>
    </row>
    <row r="2111" spans="1:9">
      <c r="A2111" t="s">
        <v>26</v>
      </c>
      <c r="B2111" t="s">
        <v>33</v>
      </c>
      <c r="C2111">
        <v>2020</v>
      </c>
      <c r="D2111" t="s">
        <v>126</v>
      </c>
      <c r="E2111">
        <v>15</v>
      </c>
      <c r="F2111">
        <v>5</v>
      </c>
      <c r="G2111">
        <v>10</v>
      </c>
      <c r="H2111">
        <v>10</v>
      </c>
      <c r="I2111" t="s">
        <v>12</v>
      </c>
    </row>
    <row r="2112" spans="1:9">
      <c r="A2112" t="s">
        <v>48</v>
      </c>
      <c r="B2112" t="s">
        <v>130</v>
      </c>
      <c r="C2112">
        <v>2020</v>
      </c>
      <c r="D2112" t="s">
        <v>126</v>
      </c>
      <c r="E2112">
        <v>7</v>
      </c>
      <c r="F2112">
        <v>11</v>
      </c>
      <c r="G2112">
        <v>-4</v>
      </c>
      <c r="H2112">
        <v>0</v>
      </c>
      <c r="I2112" t="s">
        <v>24</v>
      </c>
    </row>
    <row r="2113" spans="1:9">
      <c r="A2113" t="s">
        <v>28</v>
      </c>
      <c r="B2113" t="s">
        <v>129</v>
      </c>
      <c r="C2113">
        <v>2020</v>
      </c>
      <c r="D2113" t="s">
        <v>126</v>
      </c>
      <c r="E2113">
        <v>1</v>
      </c>
      <c r="F2113">
        <v>9</v>
      </c>
      <c r="G2113">
        <v>-8</v>
      </c>
      <c r="H2113">
        <v>2</v>
      </c>
      <c r="I2113" t="s">
        <v>12</v>
      </c>
    </row>
    <row r="2114" spans="1:9">
      <c r="A2114" t="s">
        <v>115</v>
      </c>
      <c r="B2114" t="s">
        <v>87</v>
      </c>
      <c r="C2114">
        <v>2020</v>
      </c>
      <c r="D2114" t="s">
        <v>126</v>
      </c>
      <c r="E2114">
        <v>10</v>
      </c>
      <c r="F2114">
        <v>20</v>
      </c>
      <c r="G2114">
        <v>-10</v>
      </c>
      <c r="H2114">
        <v>0</v>
      </c>
      <c r="I2114" t="s">
        <v>61</v>
      </c>
    </row>
    <row r="2115" spans="1:9">
      <c r="A2115" t="s">
        <v>29</v>
      </c>
      <c r="B2115" t="s">
        <v>86</v>
      </c>
      <c r="C2115">
        <v>2020</v>
      </c>
      <c r="D2115" t="s">
        <v>126</v>
      </c>
      <c r="E2115">
        <v>19</v>
      </c>
      <c r="F2115">
        <v>13</v>
      </c>
      <c r="G2115">
        <v>6</v>
      </c>
      <c r="H2115">
        <v>0</v>
      </c>
      <c r="I2115" t="s">
        <v>24</v>
      </c>
    </row>
    <row r="2116" spans="1:9">
      <c r="A2116" t="s">
        <v>31</v>
      </c>
      <c r="B2116" t="s">
        <v>27</v>
      </c>
      <c r="C2116">
        <v>2020</v>
      </c>
      <c r="D2116" t="s">
        <v>126</v>
      </c>
      <c r="E2116">
        <v>12</v>
      </c>
      <c r="F2116">
        <v>4</v>
      </c>
      <c r="G2116">
        <v>8</v>
      </c>
      <c r="H2116">
        <v>12</v>
      </c>
      <c r="I2116" t="s">
        <v>12</v>
      </c>
    </row>
    <row r="2117" spans="1:9">
      <c r="A2117" t="s">
        <v>32</v>
      </c>
      <c r="B2117" t="s">
        <v>33</v>
      </c>
      <c r="C2117">
        <v>2020</v>
      </c>
      <c r="D2117" t="s">
        <v>126</v>
      </c>
      <c r="E2117">
        <v>14</v>
      </c>
      <c r="F2117">
        <v>8</v>
      </c>
      <c r="G2117">
        <v>6</v>
      </c>
      <c r="H2117">
        <v>5</v>
      </c>
      <c r="I2117" t="s">
        <v>12</v>
      </c>
    </row>
    <row r="2118" spans="1:9">
      <c r="A2118" t="s">
        <v>34</v>
      </c>
      <c r="B2118" t="s">
        <v>36</v>
      </c>
      <c r="C2118">
        <v>2020</v>
      </c>
      <c r="D2118" t="s">
        <v>126</v>
      </c>
      <c r="E2118">
        <v>0</v>
      </c>
      <c r="F2118">
        <v>16</v>
      </c>
      <c r="G2118">
        <v>-16</v>
      </c>
      <c r="H2118">
        <v>0</v>
      </c>
      <c r="I2118" t="s">
        <v>24</v>
      </c>
    </row>
    <row r="2119" spans="1:9">
      <c r="A2119" t="s">
        <v>35</v>
      </c>
      <c r="B2119" t="s">
        <v>18</v>
      </c>
      <c r="C2119">
        <v>2020</v>
      </c>
      <c r="D2119" t="s">
        <v>126</v>
      </c>
      <c r="E2119">
        <v>4</v>
      </c>
      <c r="F2119">
        <v>7</v>
      </c>
      <c r="G2119">
        <v>-3</v>
      </c>
      <c r="H2119">
        <v>6</v>
      </c>
      <c r="I2119" t="s">
        <v>12</v>
      </c>
    </row>
    <row r="2120" spans="1:9">
      <c r="A2120" t="s">
        <v>101</v>
      </c>
      <c r="B2120" t="s">
        <v>36</v>
      </c>
      <c r="C2120">
        <v>2020</v>
      </c>
      <c r="D2120" t="s">
        <v>126</v>
      </c>
      <c r="E2120">
        <v>0</v>
      </c>
      <c r="F2120">
        <v>19</v>
      </c>
      <c r="G2120">
        <v>-19</v>
      </c>
      <c r="H2120">
        <v>0</v>
      </c>
      <c r="I2120" t="s">
        <v>22</v>
      </c>
    </row>
    <row r="2121" spans="1:9">
      <c r="A2121" t="s">
        <v>9</v>
      </c>
      <c r="B2121" t="s">
        <v>10</v>
      </c>
      <c r="C2121">
        <v>2020</v>
      </c>
      <c r="D2121" t="s">
        <v>142</v>
      </c>
      <c r="E2121">
        <v>1</v>
      </c>
      <c r="F2121">
        <v>1</v>
      </c>
      <c r="G2121">
        <v>0</v>
      </c>
      <c r="H2121">
        <v>26</v>
      </c>
      <c r="I2121" t="s">
        <v>12</v>
      </c>
    </row>
    <row r="2122" spans="1:9">
      <c r="A2122" t="s">
        <v>114</v>
      </c>
      <c r="B2122" t="s">
        <v>87</v>
      </c>
      <c r="C2122">
        <v>2020</v>
      </c>
      <c r="D2122" t="s">
        <v>142</v>
      </c>
      <c r="E2122">
        <v>13</v>
      </c>
      <c r="F2122">
        <v>9</v>
      </c>
      <c r="G2122">
        <v>4</v>
      </c>
      <c r="H2122">
        <v>2</v>
      </c>
      <c r="I2122" t="s">
        <v>12</v>
      </c>
    </row>
    <row r="2123" spans="1:9">
      <c r="A2123" t="s">
        <v>100</v>
      </c>
      <c r="B2123" t="s">
        <v>27</v>
      </c>
      <c r="C2123">
        <v>2020</v>
      </c>
      <c r="D2123" t="s">
        <v>142</v>
      </c>
      <c r="E2123">
        <v>14</v>
      </c>
      <c r="F2123">
        <v>10</v>
      </c>
      <c r="G2123">
        <v>4</v>
      </c>
      <c r="H2123">
        <v>1</v>
      </c>
      <c r="I2123" t="s">
        <v>12</v>
      </c>
    </row>
    <row r="2124" spans="1:9">
      <c r="A2124" t="s">
        <v>128</v>
      </c>
      <c r="B2124" t="s">
        <v>16</v>
      </c>
      <c r="C2124">
        <v>2020</v>
      </c>
      <c r="D2124" t="s">
        <v>142</v>
      </c>
      <c r="E2124">
        <v>15</v>
      </c>
      <c r="F2124">
        <v>12</v>
      </c>
      <c r="G2124">
        <v>3</v>
      </c>
      <c r="H2124">
        <v>0</v>
      </c>
      <c r="I2124" t="s">
        <v>12</v>
      </c>
    </row>
    <row r="2125" spans="1:9">
      <c r="A2125" t="s">
        <v>17</v>
      </c>
      <c r="B2125" t="s">
        <v>129</v>
      </c>
      <c r="C2125">
        <v>2020</v>
      </c>
      <c r="D2125" t="s">
        <v>142</v>
      </c>
      <c r="E2125">
        <v>7</v>
      </c>
      <c r="F2125">
        <v>5</v>
      </c>
      <c r="G2125">
        <v>2</v>
      </c>
      <c r="H2125">
        <v>10</v>
      </c>
      <c r="I2125" t="s">
        <v>12</v>
      </c>
    </row>
    <row r="2126" spans="1:9">
      <c r="A2126" t="s">
        <v>46</v>
      </c>
      <c r="B2126" t="s">
        <v>130</v>
      </c>
      <c r="C2126">
        <v>2020</v>
      </c>
      <c r="D2126" t="s">
        <v>142</v>
      </c>
      <c r="E2126">
        <v>8</v>
      </c>
      <c r="F2126">
        <v>4</v>
      </c>
      <c r="G2126">
        <v>4</v>
      </c>
      <c r="H2126">
        <v>12</v>
      </c>
      <c r="I2126" t="s">
        <v>12</v>
      </c>
    </row>
    <row r="2127" spans="1:9">
      <c r="A2127" t="s">
        <v>20</v>
      </c>
      <c r="B2127" t="s">
        <v>10</v>
      </c>
      <c r="C2127">
        <v>2020</v>
      </c>
      <c r="D2127" t="s">
        <v>142</v>
      </c>
      <c r="E2127">
        <v>2</v>
      </c>
      <c r="F2127">
        <v>2</v>
      </c>
      <c r="G2127">
        <v>0</v>
      </c>
      <c r="H2127">
        <v>18</v>
      </c>
      <c r="I2127" t="s">
        <v>12</v>
      </c>
    </row>
    <row r="2128" spans="1:9">
      <c r="A2128" t="s">
        <v>23</v>
      </c>
      <c r="B2128" t="s">
        <v>16</v>
      </c>
      <c r="C2128">
        <v>2020</v>
      </c>
      <c r="D2128" t="s">
        <v>142</v>
      </c>
      <c r="E2128">
        <v>20</v>
      </c>
      <c r="F2128">
        <v>16</v>
      </c>
      <c r="G2128">
        <v>4</v>
      </c>
      <c r="H2128">
        <v>0</v>
      </c>
      <c r="I2128" t="s">
        <v>19</v>
      </c>
    </row>
    <row r="2129" spans="1:9">
      <c r="A2129" t="s">
        <v>131</v>
      </c>
      <c r="B2129" t="s">
        <v>86</v>
      </c>
      <c r="C2129">
        <v>2020</v>
      </c>
      <c r="D2129" t="s">
        <v>142</v>
      </c>
      <c r="E2129">
        <v>12</v>
      </c>
      <c r="F2129">
        <v>7</v>
      </c>
      <c r="G2129">
        <v>5</v>
      </c>
      <c r="H2129">
        <v>6</v>
      </c>
      <c r="I2129" t="s">
        <v>12</v>
      </c>
    </row>
    <row r="2130" spans="1:9">
      <c r="A2130" t="s">
        <v>25</v>
      </c>
      <c r="B2130" t="s">
        <v>18</v>
      </c>
      <c r="C2130">
        <v>2020</v>
      </c>
      <c r="D2130" t="s">
        <v>142</v>
      </c>
      <c r="E2130">
        <v>3</v>
      </c>
      <c r="F2130">
        <v>19</v>
      </c>
      <c r="G2130">
        <v>-16</v>
      </c>
      <c r="H2130">
        <v>0</v>
      </c>
      <c r="I2130" t="s">
        <v>19</v>
      </c>
    </row>
    <row r="2131" spans="1:9">
      <c r="A2131" t="s">
        <v>26</v>
      </c>
      <c r="B2131" t="s">
        <v>33</v>
      </c>
      <c r="C2131">
        <v>2020</v>
      </c>
      <c r="D2131" t="s">
        <v>142</v>
      </c>
      <c r="E2131">
        <v>9</v>
      </c>
      <c r="F2131">
        <v>18</v>
      </c>
      <c r="G2131">
        <v>-9</v>
      </c>
      <c r="H2131">
        <v>0</v>
      </c>
      <c r="I2131" t="s">
        <v>19</v>
      </c>
    </row>
    <row r="2132" spans="1:9">
      <c r="A2132" t="s">
        <v>48</v>
      </c>
      <c r="B2132" t="s">
        <v>130</v>
      </c>
      <c r="C2132">
        <v>2020</v>
      </c>
      <c r="D2132" t="s">
        <v>142</v>
      </c>
      <c r="E2132">
        <v>10</v>
      </c>
      <c r="F2132">
        <v>14</v>
      </c>
      <c r="G2132">
        <v>-4</v>
      </c>
      <c r="H2132">
        <v>0</v>
      </c>
      <c r="I2132" t="s">
        <v>47</v>
      </c>
    </row>
    <row r="2133" spans="1:9">
      <c r="A2133" t="s">
        <v>28</v>
      </c>
      <c r="B2133" t="s">
        <v>129</v>
      </c>
      <c r="C2133">
        <v>2020</v>
      </c>
      <c r="D2133" t="s">
        <v>142</v>
      </c>
      <c r="E2133">
        <v>6</v>
      </c>
      <c r="F2133">
        <v>13</v>
      </c>
      <c r="G2133">
        <v>-7</v>
      </c>
      <c r="H2133">
        <v>0</v>
      </c>
      <c r="I2133" t="s">
        <v>123</v>
      </c>
    </row>
    <row r="2134" spans="1:9">
      <c r="A2134" t="s">
        <v>115</v>
      </c>
      <c r="B2134" t="s">
        <v>87</v>
      </c>
      <c r="C2134">
        <v>2020</v>
      </c>
      <c r="D2134" t="s">
        <v>142</v>
      </c>
      <c r="E2134">
        <v>17</v>
      </c>
      <c r="F2134">
        <v>17</v>
      </c>
      <c r="G2134">
        <v>0</v>
      </c>
      <c r="H2134">
        <v>0</v>
      </c>
      <c r="I2134" t="s">
        <v>19</v>
      </c>
    </row>
    <row r="2135" spans="1:9">
      <c r="A2135" t="s">
        <v>29</v>
      </c>
      <c r="B2135" t="s">
        <v>86</v>
      </c>
      <c r="C2135">
        <v>2020</v>
      </c>
      <c r="D2135" t="s">
        <v>142</v>
      </c>
      <c r="E2135">
        <v>16</v>
      </c>
      <c r="F2135">
        <v>20</v>
      </c>
      <c r="G2135">
        <v>-4</v>
      </c>
      <c r="H2135">
        <v>0</v>
      </c>
      <c r="I2135" t="s">
        <v>19</v>
      </c>
    </row>
    <row r="2136" spans="1:9">
      <c r="A2136" t="s">
        <v>31</v>
      </c>
      <c r="B2136" t="s">
        <v>27</v>
      </c>
      <c r="C2136">
        <v>2020</v>
      </c>
      <c r="D2136" t="s">
        <v>142</v>
      </c>
      <c r="E2136">
        <v>5</v>
      </c>
      <c r="F2136">
        <v>8</v>
      </c>
      <c r="G2136">
        <v>-3</v>
      </c>
      <c r="H2136">
        <v>4</v>
      </c>
      <c r="I2136" t="s">
        <v>12</v>
      </c>
    </row>
    <row r="2137" spans="1:9">
      <c r="A2137" t="s">
        <v>32</v>
      </c>
      <c r="B2137" t="s">
        <v>33</v>
      </c>
      <c r="C2137">
        <v>2020</v>
      </c>
      <c r="D2137" t="s">
        <v>142</v>
      </c>
      <c r="E2137">
        <v>11</v>
      </c>
      <c r="F2137">
        <v>6</v>
      </c>
      <c r="G2137">
        <v>5</v>
      </c>
      <c r="H2137">
        <v>8</v>
      </c>
      <c r="I2137" t="s">
        <v>12</v>
      </c>
    </row>
    <row r="2138" spans="1:9">
      <c r="A2138" t="s">
        <v>34</v>
      </c>
      <c r="B2138" t="s">
        <v>36</v>
      </c>
      <c r="C2138">
        <v>2020</v>
      </c>
      <c r="D2138" t="s">
        <v>142</v>
      </c>
      <c r="E2138">
        <v>18</v>
      </c>
      <c r="F2138">
        <v>11</v>
      </c>
      <c r="G2138">
        <v>7</v>
      </c>
      <c r="H2138">
        <v>0</v>
      </c>
      <c r="I2138" t="s">
        <v>12</v>
      </c>
    </row>
    <row r="2139" spans="1:9">
      <c r="A2139" t="s">
        <v>35</v>
      </c>
      <c r="B2139" t="s">
        <v>18</v>
      </c>
      <c r="C2139">
        <v>2020</v>
      </c>
      <c r="D2139" t="s">
        <v>142</v>
      </c>
      <c r="E2139">
        <v>4</v>
      </c>
      <c r="F2139">
        <v>3</v>
      </c>
      <c r="G2139">
        <v>1</v>
      </c>
      <c r="H2139">
        <v>15</v>
      </c>
      <c r="I2139" t="s">
        <v>12</v>
      </c>
    </row>
    <row r="2140" spans="1:9">
      <c r="A2140" t="s">
        <v>101</v>
      </c>
      <c r="B2140" t="s">
        <v>36</v>
      </c>
      <c r="C2140">
        <v>2020</v>
      </c>
      <c r="D2140" t="s">
        <v>142</v>
      </c>
      <c r="E2140">
        <v>19</v>
      </c>
      <c r="F2140">
        <v>15</v>
      </c>
      <c r="G2140">
        <v>4</v>
      </c>
      <c r="H2140">
        <v>0</v>
      </c>
      <c r="I2140" t="s">
        <v>19</v>
      </c>
    </row>
    <row r="2141" spans="1:9">
      <c r="A2141" t="s">
        <v>9</v>
      </c>
      <c r="B2141" t="s">
        <v>10</v>
      </c>
      <c r="C2141">
        <v>2019</v>
      </c>
      <c r="D2141" t="s">
        <v>11</v>
      </c>
      <c r="E2141">
        <v>1</v>
      </c>
      <c r="F2141">
        <v>1</v>
      </c>
      <c r="G2141">
        <v>0</v>
      </c>
      <c r="H2141">
        <v>26</v>
      </c>
      <c r="I2141" t="s">
        <v>12</v>
      </c>
    </row>
    <row r="2142" spans="1:9">
      <c r="A2142" t="s">
        <v>114</v>
      </c>
      <c r="B2142" t="s">
        <v>87</v>
      </c>
      <c r="C2142">
        <v>2019</v>
      </c>
      <c r="D2142" t="s">
        <v>11</v>
      </c>
      <c r="E2142">
        <v>17</v>
      </c>
      <c r="F2142">
        <v>13</v>
      </c>
      <c r="G2142">
        <v>4</v>
      </c>
      <c r="H2142">
        <v>0</v>
      </c>
      <c r="I2142" t="s">
        <v>24</v>
      </c>
    </row>
    <row r="2143" spans="1:9">
      <c r="A2143" t="s">
        <v>117</v>
      </c>
      <c r="B2143" t="s">
        <v>36</v>
      </c>
      <c r="C2143">
        <v>2019</v>
      </c>
      <c r="D2143" t="s">
        <v>11</v>
      </c>
      <c r="E2143">
        <v>19</v>
      </c>
      <c r="F2143">
        <v>19</v>
      </c>
      <c r="G2143">
        <v>0</v>
      </c>
      <c r="H2143">
        <v>0</v>
      </c>
      <c r="I2143" t="s">
        <v>53</v>
      </c>
    </row>
    <row r="2144" spans="1:9">
      <c r="A2144" t="s">
        <v>100</v>
      </c>
      <c r="B2144" t="s">
        <v>27</v>
      </c>
      <c r="C2144">
        <v>2019</v>
      </c>
      <c r="D2144" t="s">
        <v>11</v>
      </c>
      <c r="E2144">
        <v>4</v>
      </c>
      <c r="F2144">
        <v>5</v>
      </c>
      <c r="G2144">
        <v>-1</v>
      </c>
      <c r="H2144">
        <v>10</v>
      </c>
      <c r="I2144" t="s">
        <v>12</v>
      </c>
    </row>
    <row r="2145" spans="1:9">
      <c r="A2145" t="s">
        <v>128</v>
      </c>
      <c r="B2145" t="s">
        <v>16</v>
      </c>
      <c r="C2145">
        <v>2019</v>
      </c>
      <c r="D2145" t="s">
        <v>11</v>
      </c>
      <c r="E2145">
        <v>15</v>
      </c>
      <c r="F2145">
        <v>15</v>
      </c>
      <c r="G2145">
        <v>0</v>
      </c>
      <c r="H2145">
        <v>0</v>
      </c>
      <c r="I2145" t="s">
        <v>24</v>
      </c>
    </row>
    <row r="2146" spans="1:9">
      <c r="A2146" t="s">
        <v>15</v>
      </c>
      <c r="B2146" t="s">
        <v>130</v>
      </c>
      <c r="C2146">
        <v>2019</v>
      </c>
      <c r="D2146" t="s">
        <v>11</v>
      </c>
      <c r="E2146">
        <v>9</v>
      </c>
      <c r="F2146">
        <v>12</v>
      </c>
      <c r="G2146">
        <v>-3</v>
      </c>
      <c r="H2146">
        <v>0</v>
      </c>
      <c r="I2146" t="s">
        <v>24</v>
      </c>
    </row>
    <row r="2147" spans="1:9">
      <c r="A2147" t="s">
        <v>17</v>
      </c>
      <c r="B2147" t="s">
        <v>129</v>
      </c>
      <c r="C2147">
        <v>2019</v>
      </c>
      <c r="D2147" t="s">
        <v>11</v>
      </c>
      <c r="E2147">
        <v>10</v>
      </c>
      <c r="F2147">
        <v>7</v>
      </c>
      <c r="G2147">
        <v>3</v>
      </c>
      <c r="H2147">
        <v>6</v>
      </c>
      <c r="I2147" t="s">
        <v>24</v>
      </c>
    </row>
    <row r="2148" spans="1:9">
      <c r="A2148" t="s">
        <v>46</v>
      </c>
      <c r="B2148" t="s">
        <v>130</v>
      </c>
      <c r="C2148">
        <v>2019</v>
      </c>
      <c r="D2148" t="s">
        <v>11</v>
      </c>
      <c r="E2148">
        <v>7</v>
      </c>
      <c r="F2148">
        <v>11</v>
      </c>
      <c r="G2148">
        <v>-4</v>
      </c>
      <c r="H2148">
        <v>0</v>
      </c>
      <c r="I2148" t="s">
        <v>24</v>
      </c>
    </row>
    <row r="2149" spans="1:9">
      <c r="A2149" t="s">
        <v>20</v>
      </c>
      <c r="B2149" t="s">
        <v>10</v>
      </c>
      <c r="C2149">
        <v>2019</v>
      </c>
      <c r="D2149" t="s">
        <v>11</v>
      </c>
      <c r="E2149">
        <v>20</v>
      </c>
      <c r="F2149">
        <v>4</v>
      </c>
      <c r="G2149">
        <v>16</v>
      </c>
      <c r="H2149">
        <v>12</v>
      </c>
      <c r="I2149" t="s">
        <v>12</v>
      </c>
    </row>
    <row r="2150" spans="1:9">
      <c r="A2150" t="s">
        <v>23</v>
      </c>
      <c r="B2150" t="s">
        <v>16</v>
      </c>
      <c r="C2150">
        <v>2019</v>
      </c>
      <c r="D2150" t="s">
        <v>11</v>
      </c>
      <c r="E2150">
        <v>14</v>
      </c>
      <c r="F2150">
        <v>14</v>
      </c>
      <c r="G2150">
        <v>0</v>
      </c>
      <c r="H2150">
        <v>0</v>
      </c>
      <c r="I2150" t="s">
        <v>24</v>
      </c>
    </row>
    <row r="2151" spans="1:9">
      <c r="A2151" t="s">
        <v>131</v>
      </c>
      <c r="B2151" t="s">
        <v>143</v>
      </c>
      <c r="C2151">
        <v>2019</v>
      </c>
      <c r="D2151" t="s">
        <v>11</v>
      </c>
      <c r="E2151">
        <v>13</v>
      </c>
      <c r="F2151">
        <v>9</v>
      </c>
      <c r="G2151">
        <v>4</v>
      </c>
      <c r="H2151">
        <v>2</v>
      </c>
      <c r="I2151" t="s">
        <v>24</v>
      </c>
    </row>
    <row r="2152" spans="1:9">
      <c r="A2152" t="s">
        <v>25</v>
      </c>
      <c r="B2152" t="s">
        <v>18</v>
      </c>
      <c r="C2152">
        <v>2019</v>
      </c>
      <c r="D2152" t="s">
        <v>11</v>
      </c>
      <c r="E2152">
        <v>2</v>
      </c>
      <c r="F2152">
        <v>2</v>
      </c>
      <c r="G2152">
        <v>0</v>
      </c>
      <c r="H2152">
        <v>18</v>
      </c>
      <c r="I2152" t="s">
        <v>12</v>
      </c>
    </row>
    <row r="2153" spans="1:9">
      <c r="A2153" t="s">
        <v>26</v>
      </c>
      <c r="B2153" t="s">
        <v>33</v>
      </c>
      <c r="C2153">
        <v>2019</v>
      </c>
      <c r="D2153" t="s">
        <v>11</v>
      </c>
      <c r="E2153">
        <v>8</v>
      </c>
      <c r="F2153">
        <v>10</v>
      </c>
      <c r="G2153">
        <v>-2</v>
      </c>
      <c r="H2153">
        <v>1</v>
      </c>
      <c r="I2153" t="s">
        <v>24</v>
      </c>
    </row>
    <row r="2154" spans="1:9">
      <c r="A2154" t="s">
        <v>28</v>
      </c>
      <c r="B2154" t="s">
        <v>129</v>
      </c>
      <c r="C2154">
        <v>2019</v>
      </c>
      <c r="D2154" t="s">
        <v>11</v>
      </c>
      <c r="E2154">
        <v>12</v>
      </c>
      <c r="F2154">
        <v>20</v>
      </c>
      <c r="G2154">
        <v>-8</v>
      </c>
      <c r="H2154">
        <v>0</v>
      </c>
      <c r="I2154" t="s">
        <v>47</v>
      </c>
    </row>
    <row r="2155" spans="1:9">
      <c r="A2155" t="s">
        <v>115</v>
      </c>
      <c r="B2155" t="s">
        <v>87</v>
      </c>
      <c r="C2155">
        <v>2019</v>
      </c>
      <c r="D2155" t="s">
        <v>11</v>
      </c>
      <c r="E2155">
        <v>16</v>
      </c>
      <c r="F2155">
        <v>16</v>
      </c>
      <c r="G2155">
        <v>0</v>
      </c>
      <c r="H2155">
        <v>0</v>
      </c>
      <c r="I2155" t="s">
        <v>24</v>
      </c>
    </row>
    <row r="2156" spans="1:9">
      <c r="A2156" t="s">
        <v>29</v>
      </c>
      <c r="B2156" t="s">
        <v>143</v>
      </c>
      <c r="C2156">
        <v>2019</v>
      </c>
      <c r="D2156" t="s">
        <v>11</v>
      </c>
      <c r="E2156">
        <v>11</v>
      </c>
      <c r="F2156">
        <v>18</v>
      </c>
      <c r="G2156">
        <v>-7</v>
      </c>
      <c r="H2156">
        <v>0</v>
      </c>
      <c r="I2156" t="s">
        <v>53</v>
      </c>
    </row>
    <row r="2157" spans="1:9">
      <c r="A2157" t="s">
        <v>31</v>
      </c>
      <c r="B2157" t="s">
        <v>27</v>
      </c>
      <c r="C2157">
        <v>2019</v>
      </c>
      <c r="D2157" t="s">
        <v>11</v>
      </c>
      <c r="E2157">
        <v>3</v>
      </c>
      <c r="F2157">
        <v>3</v>
      </c>
      <c r="G2157">
        <v>0</v>
      </c>
      <c r="H2157">
        <v>15</v>
      </c>
      <c r="I2157" t="s">
        <v>12</v>
      </c>
    </row>
    <row r="2158" spans="1:9">
      <c r="A2158" t="s">
        <v>32</v>
      </c>
      <c r="B2158" t="s">
        <v>33</v>
      </c>
      <c r="C2158">
        <v>2019</v>
      </c>
      <c r="D2158" t="s">
        <v>11</v>
      </c>
      <c r="E2158">
        <v>6</v>
      </c>
      <c r="F2158">
        <v>8</v>
      </c>
      <c r="G2158">
        <v>-2</v>
      </c>
      <c r="H2158">
        <v>4</v>
      </c>
      <c r="I2158" t="s">
        <v>24</v>
      </c>
    </row>
    <row r="2159" spans="1:9">
      <c r="A2159" t="s">
        <v>34</v>
      </c>
      <c r="B2159" t="s">
        <v>36</v>
      </c>
      <c r="C2159">
        <v>2019</v>
      </c>
      <c r="D2159" t="s">
        <v>11</v>
      </c>
      <c r="E2159">
        <v>18</v>
      </c>
      <c r="F2159">
        <v>17</v>
      </c>
      <c r="G2159">
        <v>1</v>
      </c>
      <c r="H2159">
        <v>0</v>
      </c>
      <c r="I2159" t="s">
        <v>24</v>
      </c>
    </row>
    <row r="2160" spans="1:9">
      <c r="A2160" t="s">
        <v>35</v>
      </c>
      <c r="B2160" t="s">
        <v>18</v>
      </c>
      <c r="C2160">
        <v>2019</v>
      </c>
      <c r="D2160" t="s">
        <v>11</v>
      </c>
      <c r="E2160">
        <v>5</v>
      </c>
      <c r="F2160">
        <v>6</v>
      </c>
      <c r="G2160">
        <v>-1</v>
      </c>
      <c r="H2160">
        <v>8</v>
      </c>
      <c r="I2160" t="s">
        <v>12</v>
      </c>
    </row>
    <row r="2161" spans="1:9">
      <c r="A2161" t="s">
        <v>9</v>
      </c>
      <c r="B2161" t="s">
        <v>10</v>
      </c>
      <c r="C2161">
        <v>2019</v>
      </c>
      <c r="D2161" t="s">
        <v>45</v>
      </c>
      <c r="E2161">
        <v>1</v>
      </c>
      <c r="F2161">
        <v>2</v>
      </c>
      <c r="G2161">
        <v>-1</v>
      </c>
      <c r="H2161">
        <v>18</v>
      </c>
      <c r="I2161" t="s">
        <v>12</v>
      </c>
    </row>
    <row r="2162" spans="1:9">
      <c r="A2162" t="s">
        <v>114</v>
      </c>
      <c r="B2162" t="s">
        <v>87</v>
      </c>
      <c r="C2162">
        <v>2019</v>
      </c>
      <c r="D2162" t="s">
        <v>45</v>
      </c>
      <c r="E2162">
        <v>9</v>
      </c>
      <c r="F2162">
        <v>8</v>
      </c>
      <c r="G2162">
        <v>1</v>
      </c>
      <c r="H2162">
        <v>4</v>
      </c>
      <c r="I2162" t="s">
        <v>24</v>
      </c>
    </row>
    <row r="2163" spans="1:9">
      <c r="A2163" t="s">
        <v>117</v>
      </c>
      <c r="B2163" t="s">
        <v>36</v>
      </c>
      <c r="C2163">
        <v>2019</v>
      </c>
      <c r="D2163" t="s">
        <v>45</v>
      </c>
      <c r="E2163">
        <v>20</v>
      </c>
      <c r="F2163">
        <v>17</v>
      </c>
      <c r="G2163">
        <v>3</v>
      </c>
      <c r="H2163">
        <v>0</v>
      </c>
      <c r="I2163" t="s">
        <v>118</v>
      </c>
    </row>
    <row r="2164" spans="1:9">
      <c r="A2164" t="s">
        <v>100</v>
      </c>
      <c r="B2164" t="s">
        <v>27</v>
      </c>
      <c r="C2164">
        <v>2019</v>
      </c>
      <c r="D2164" t="s">
        <v>45</v>
      </c>
      <c r="E2164">
        <v>3</v>
      </c>
      <c r="F2164">
        <v>4</v>
      </c>
      <c r="G2164">
        <v>-1</v>
      </c>
      <c r="H2164">
        <v>12</v>
      </c>
      <c r="I2164" t="s">
        <v>12</v>
      </c>
    </row>
    <row r="2165" spans="1:9">
      <c r="A2165" t="s">
        <v>128</v>
      </c>
      <c r="B2165" t="s">
        <v>16</v>
      </c>
      <c r="C2165">
        <v>2019</v>
      </c>
      <c r="D2165" t="s">
        <v>45</v>
      </c>
      <c r="E2165">
        <v>6</v>
      </c>
      <c r="F2165">
        <v>18</v>
      </c>
      <c r="G2165">
        <v>-12</v>
      </c>
      <c r="H2165">
        <v>0</v>
      </c>
      <c r="I2165" t="s">
        <v>134</v>
      </c>
    </row>
    <row r="2166" spans="1:9">
      <c r="A2166" t="s">
        <v>15</v>
      </c>
      <c r="B2166" t="s">
        <v>130</v>
      </c>
      <c r="C2166">
        <v>2019</v>
      </c>
      <c r="D2166" t="s">
        <v>45</v>
      </c>
      <c r="E2166">
        <v>11</v>
      </c>
      <c r="F2166">
        <v>7</v>
      </c>
      <c r="G2166">
        <v>4</v>
      </c>
      <c r="H2166">
        <v>6</v>
      </c>
      <c r="I2166" t="s">
        <v>24</v>
      </c>
    </row>
    <row r="2167" spans="1:9">
      <c r="A2167" t="s">
        <v>17</v>
      </c>
      <c r="B2167" t="s">
        <v>129</v>
      </c>
      <c r="C2167">
        <v>2019</v>
      </c>
      <c r="D2167" t="s">
        <v>45</v>
      </c>
      <c r="E2167">
        <v>10</v>
      </c>
      <c r="F2167">
        <v>13</v>
      </c>
      <c r="G2167">
        <v>-3</v>
      </c>
      <c r="H2167">
        <v>0</v>
      </c>
      <c r="I2167" t="s">
        <v>24</v>
      </c>
    </row>
    <row r="2168" spans="1:9">
      <c r="A2168" t="s">
        <v>46</v>
      </c>
      <c r="B2168" t="s">
        <v>130</v>
      </c>
      <c r="C2168">
        <v>2019</v>
      </c>
      <c r="D2168" t="s">
        <v>45</v>
      </c>
      <c r="E2168">
        <v>12</v>
      </c>
      <c r="F2168">
        <v>19</v>
      </c>
      <c r="G2168">
        <v>-7</v>
      </c>
      <c r="H2168">
        <v>0</v>
      </c>
      <c r="I2168" t="s">
        <v>122</v>
      </c>
    </row>
    <row r="2169" spans="1:9">
      <c r="A2169" t="s">
        <v>20</v>
      </c>
      <c r="B2169" t="s">
        <v>10</v>
      </c>
      <c r="C2169">
        <v>2019</v>
      </c>
      <c r="D2169" t="s">
        <v>45</v>
      </c>
      <c r="E2169">
        <v>2</v>
      </c>
      <c r="F2169">
        <v>1</v>
      </c>
      <c r="G2169">
        <v>1</v>
      </c>
      <c r="H2169">
        <v>26</v>
      </c>
      <c r="I2169" t="s">
        <v>12</v>
      </c>
    </row>
    <row r="2170" spans="1:9">
      <c r="A2170" t="s">
        <v>23</v>
      </c>
      <c r="B2170" t="s">
        <v>16</v>
      </c>
      <c r="C2170">
        <v>2019</v>
      </c>
      <c r="D2170" t="s">
        <v>45</v>
      </c>
      <c r="E2170">
        <v>7</v>
      </c>
      <c r="F2170">
        <v>6</v>
      </c>
      <c r="G2170">
        <v>1</v>
      </c>
      <c r="H2170">
        <v>8</v>
      </c>
      <c r="I2170" t="s">
        <v>12</v>
      </c>
    </row>
    <row r="2171" spans="1:9">
      <c r="A2171" t="s">
        <v>131</v>
      </c>
      <c r="B2171" t="s">
        <v>143</v>
      </c>
      <c r="C2171">
        <v>2019</v>
      </c>
      <c r="D2171" t="s">
        <v>45</v>
      </c>
      <c r="E2171">
        <v>15</v>
      </c>
      <c r="F2171">
        <v>10</v>
      </c>
      <c r="G2171">
        <v>5</v>
      </c>
      <c r="H2171">
        <v>1</v>
      </c>
      <c r="I2171" t="s">
        <v>24</v>
      </c>
    </row>
    <row r="2172" spans="1:9">
      <c r="A2172" t="s">
        <v>25</v>
      </c>
      <c r="B2172" t="s">
        <v>18</v>
      </c>
      <c r="C2172">
        <v>2019</v>
      </c>
      <c r="D2172" t="s">
        <v>45</v>
      </c>
      <c r="E2172">
        <v>4</v>
      </c>
      <c r="F2172">
        <v>3</v>
      </c>
      <c r="G2172">
        <v>1</v>
      </c>
      <c r="H2172">
        <v>15</v>
      </c>
      <c r="I2172" t="s">
        <v>12</v>
      </c>
    </row>
    <row r="2173" spans="1:9">
      <c r="A2173" t="s">
        <v>26</v>
      </c>
      <c r="B2173" t="s">
        <v>33</v>
      </c>
      <c r="C2173">
        <v>2019</v>
      </c>
      <c r="D2173" t="s">
        <v>45</v>
      </c>
      <c r="E2173">
        <v>18</v>
      </c>
      <c r="F2173">
        <v>20</v>
      </c>
      <c r="G2173">
        <v>-2</v>
      </c>
      <c r="H2173">
        <v>0</v>
      </c>
      <c r="I2173" t="s">
        <v>42</v>
      </c>
    </row>
    <row r="2174" spans="1:9">
      <c r="A2174" t="s">
        <v>28</v>
      </c>
      <c r="B2174" t="s">
        <v>129</v>
      </c>
      <c r="C2174">
        <v>2019</v>
      </c>
      <c r="D2174" t="s">
        <v>45</v>
      </c>
      <c r="E2174">
        <v>16</v>
      </c>
      <c r="F2174">
        <v>9</v>
      </c>
      <c r="G2174">
        <v>7</v>
      </c>
      <c r="H2174">
        <v>2</v>
      </c>
      <c r="I2174" t="s">
        <v>24</v>
      </c>
    </row>
    <row r="2175" spans="1:9">
      <c r="A2175" t="s">
        <v>115</v>
      </c>
      <c r="B2175" t="s">
        <v>87</v>
      </c>
      <c r="C2175">
        <v>2019</v>
      </c>
      <c r="D2175" t="s">
        <v>45</v>
      </c>
      <c r="E2175">
        <v>14</v>
      </c>
      <c r="F2175">
        <v>15</v>
      </c>
      <c r="G2175">
        <v>-1</v>
      </c>
      <c r="H2175">
        <v>0</v>
      </c>
      <c r="I2175" t="s">
        <v>24</v>
      </c>
    </row>
    <row r="2176" spans="1:9">
      <c r="A2176" t="s">
        <v>29</v>
      </c>
      <c r="B2176" t="s">
        <v>18</v>
      </c>
      <c r="C2176">
        <v>2019</v>
      </c>
      <c r="D2176" t="s">
        <v>45</v>
      </c>
      <c r="E2176">
        <v>17</v>
      </c>
      <c r="F2176">
        <v>11</v>
      </c>
      <c r="G2176">
        <v>6</v>
      </c>
      <c r="H2176">
        <v>0</v>
      </c>
      <c r="I2176" t="s">
        <v>24</v>
      </c>
    </row>
    <row r="2177" spans="1:9">
      <c r="A2177" t="s">
        <v>31</v>
      </c>
      <c r="B2177" t="s">
        <v>27</v>
      </c>
      <c r="C2177">
        <v>2019</v>
      </c>
      <c r="D2177" t="s">
        <v>45</v>
      </c>
      <c r="E2177">
        <v>5</v>
      </c>
      <c r="F2177">
        <v>5</v>
      </c>
      <c r="G2177">
        <v>0</v>
      </c>
      <c r="H2177">
        <v>10</v>
      </c>
      <c r="I2177" t="s">
        <v>12</v>
      </c>
    </row>
    <row r="2178" spans="1:9">
      <c r="A2178" t="s">
        <v>32</v>
      </c>
      <c r="B2178" t="s">
        <v>33</v>
      </c>
      <c r="C2178">
        <v>2019</v>
      </c>
      <c r="D2178" t="s">
        <v>45</v>
      </c>
      <c r="E2178">
        <v>8</v>
      </c>
      <c r="F2178">
        <v>12</v>
      </c>
      <c r="G2178">
        <v>-4</v>
      </c>
      <c r="H2178">
        <v>0</v>
      </c>
      <c r="I2178" t="s">
        <v>24</v>
      </c>
    </row>
    <row r="2179" spans="1:9">
      <c r="A2179" t="s">
        <v>34</v>
      </c>
      <c r="B2179" t="s">
        <v>36</v>
      </c>
      <c r="C2179">
        <v>2019</v>
      </c>
      <c r="D2179" t="s">
        <v>45</v>
      </c>
      <c r="E2179">
        <v>19</v>
      </c>
      <c r="F2179">
        <v>16</v>
      </c>
      <c r="G2179">
        <v>3</v>
      </c>
      <c r="H2179">
        <v>0</v>
      </c>
      <c r="I2179" t="s">
        <v>53</v>
      </c>
    </row>
    <row r="2180" spans="1:9">
      <c r="A2180" t="s">
        <v>35</v>
      </c>
      <c r="B2180" t="s">
        <v>143</v>
      </c>
      <c r="C2180">
        <v>2019</v>
      </c>
      <c r="D2180" t="s">
        <v>45</v>
      </c>
      <c r="E2180">
        <v>13</v>
      </c>
      <c r="F2180">
        <v>14</v>
      </c>
      <c r="G2180">
        <v>-1</v>
      </c>
      <c r="H2180">
        <v>0</v>
      </c>
      <c r="I2180" t="s">
        <v>24</v>
      </c>
    </row>
    <row r="2181" spans="1:9">
      <c r="A2181" t="s">
        <v>9</v>
      </c>
      <c r="B2181" t="s">
        <v>10</v>
      </c>
      <c r="C2181">
        <v>2019</v>
      </c>
      <c r="D2181" t="s">
        <v>50</v>
      </c>
      <c r="E2181">
        <v>4</v>
      </c>
      <c r="F2181">
        <v>5</v>
      </c>
      <c r="G2181">
        <v>-1</v>
      </c>
      <c r="H2181">
        <v>10</v>
      </c>
      <c r="I2181" t="s">
        <v>12</v>
      </c>
    </row>
    <row r="2182" spans="1:9">
      <c r="A2182" t="s">
        <v>114</v>
      </c>
      <c r="B2182" t="s">
        <v>87</v>
      </c>
      <c r="C2182">
        <v>2019</v>
      </c>
      <c r="D2182" t="s">
        <v>50</v>
      </c>
      <c r="E2182">
        <v>6</v>
      </c>
      <c r="F2182">
        <v>9</v>
      </c>
      <c r="G2182">
        <v>-3</v>
      </c>
      <c r="H2182">
        <v>2</v>
      </c>
      <c r="I2182" t="s">
        <v>24</v>
      </c>
    </row>
    <row r="2183" spans="1:9">
      <c r="A2183" t="s">
        <v>117</v>
      </c>
      <c r="B2183" t="s">
        <v>36</v>
      </c>
      <c r="C2183">
        <v>2019</v>
      </c>
      <c r="D2183" t="s">
        <v>50</v>
      </c>
      <c r="E2183">
        <v>17</v>
      </c>
      <c r="F2183">
        <v>20</v>
      </c>
      <c r="G2183">
        <v>-3</v>
      </c>
      <c r="H2183">
        <v>0</v>
      </c>
      <c r="I2183" t="s">
        <v>118</v>
      </c>
    </row>
    <row r="2184" spans="1:9">
      <c r="A2184" t="s">
        <v>100</v>
      </c>
      <c r="B2184" t="s">
        <v>27</v>
      </c>
      <c r="C2184">
        <v>2019</v>
      </c>
      <c r="D2184" t="s">
        <v>50</v>
      </c>
      <c r="E2184">
        <v>9</v>
      </c>
      <c r="F2184">
        <v>4</v>
      </c>
      <c r="G2184">
        <v>5</v>
      </c>
      <c r="H2184">
        <v>12</v>
      </c>
      <c r="I2184" t="s">
        <v>12</v>
      </c>
    </row>
    <row r="2185" spans="1:9">
      <c r="A2185" t="s">
        <v>128</v>
      </c>
      <c r="B2185" t="s">
        <v>16</v>
      </c>
      <c r="C2185">
        <v>2019</v>
      </c>
      <c r="D2185" t="s">
        <v>50</v>
      </c>
      <c r="E2185">
        <v>11</v>
      </c>
      <c r="F2185">
        <v>16</v>
      </c>
      <c r="G2185">
        <v>-5</v>
      </c>
      <c r="H2185">
        <v>0</v>
      </c>
      <c r="I2185" t="s">
        <v>24</v>
      </c>
    </row>
    <row r="2186" spans="1:9">
      <c r="A2186" t="s">
        <v>15</v>
      </c>
      <c r="B2186" t="s">
        <v>130</v>
      </c>
      <c r="C2186">
        <v>2019</v>
      </c>
      <c r="D2186" t="s">
        <v>50</v>
      </c>
      <c r="E2186">
        <v>15</v>
      </c>
      <c r="F2186">
        <v>13</v>
      </c>
      <c r="G2186">
        <v>2</v>
      </c>
      <c r="H2186">
        <v>0</v>
      </c>
      <c r="I2186" t="s">
        <v>24</v>
      </c>
    </row>
    <row r="2187" spans="1:9">
      <c r="A2187" t="s">
        <v>17</v>
      </c>
      <c r="B2187" t="s">
        <v>129</v>
      </c>
      <c r="C2187">
        <v>2019</v>
      </c>
      <c r="D2187" t="s">
        <v>50</v>
      </c>
      <c r="E2187">
        <v>13</v>
      </c>
      <c r="F2187">
        <v>11</v>
      </c>
      <c r="G2187">
        <v>2</v>
      </c>
      <c r="H2187">
        <v>0</v>
      </c>
      <c r="I2187" t="s">
        <v>24</v>
      </c>
    </row>
    <row r="2188" spans="1:9">
      <c r="A2188" t="s">
        <v>46</v>
      </c>
      <c r="B2188" t="s">
        <v>130</v>
      </c>
      <c r="C2188">
        <v>2019</v>
      </c>
      <c r="D2188" t="s">
        <v>50</v>
      </c>
      <c r="E2188">
        <v>12</v>
      </c>
      <c r="F2188">
        <v>12</v>
      </c>
      <c r="G2188">
        <v>0</v>
      </c>
      <c r="H2188">
        <v>0</v>
      </c>
      <c r="I2188" t="s">
        <v>24</v>
      </c>
    </row>
    <row r="2189" spans="1:9">
      <c r="A2189" t="s">
        <v>20</v>
      </c>
      <c r="B2189" t="s">
        <v>10</v>
      </c>
      <c r="C2189">
        <v>2019</v>
      </c>
      <c r="D2189" t="s">
        <v>50</v>
      </c>
      <c r="E2189">
        <v>3</v>
      </c>
      <c r="F2189">
        <v>3</v>
      </c>
      <c r="G2189">
        <v>0</v>
      </c>
      <c r="H2189">
        <v>15</v>
      </c>
      <c r="I2189" t="s">
        <v>12</v>
      </c>
    </row>
    <row r="2190" spans="1:9">
      <c r="A2190" t="s">
        <v>23</v>
      </c>
      <c r="B2190" t="s">
        <v>16</v>
      </c>
      <c r="C2190">
        <v>2019</v>
      </c>
      <c r="D2190" t="s">
        <v>50</v>
      </c>
      <c r="E2190">
        <v>10</v>
      </c>
      <c r="F2190">
        <v>19</v>
      </c>
      <c r="G2190">
        <v>-9</v>
      </c>
      <c r="H2190">
        <v>0</v>
      </c>
      <c r="I2190" t="s">
        <v>53</v>
      </c>
    </row>
    <row r="2191" spans="1:9">
      <c r="A2191" t="s">
        <v>131</v>
      </c>
      <c r="B2191" t="s">
        <v>143</v>
      </c>
      <c r="C2191">
        <v>2019</v>
      </c>
      <c r="D2191" t="s">
        <v>50</v>
      </c>
      <c r="E2191">
        <v>16</v>
      </c>
      <c r="F2191">
        <v>17</v>
      </c>
      <c r="G2191">
        <v>-1</v>
      </c>
      <c r="H2191">
        <v>0</v>
      </c>
      <c r="I2191" t="s">
        <v>24</v>
      </c>
    </row>
    <row r="2192" spans="1:9">
      <c r="A2192" t="s">
        <v>25</v>
      </c>
      <c r="B2192" t="s">
        <v>18</v>
      </c>
      <c r="C2192">
        <v>2019</v>
      </c>
      <c r="D2192" t="s">
        <v>50</v>
      </c>
      <c r="E2192">
        <v>2</v>
      </c>
      <c r="F2192">
        <v>1</v>
      </c>
      <c r="G2192">
        <v>1</v>
      </c>
      <c r="H2192">
        <v>26</v>
      </c>
      <c r="I2192" t="s">
        <v>12</v>
      </c>
    </row>
    <row r="2193" spans="1:9">
      <c r="A2193" t="s">
        <v>26</v>
      </c>
      <c r="B2193" t="s">
        <v>33</v>
      </c>
      <c r="C2193">
        <v>2019</v>
      </c>
      <c r="D2193" t="s">
        <v>50</v>
      </c>
      <c r="E2193">
        <v>19</v>
      </c>
      <c r="F2193">
        <v>8</v>
      </c>
      <c r="G2193">
        <v>11</v>
      </c>
      <c r="H2193">
        <v>4</v>
      </c>
      <c r="I2193" t="s">
        <v>24</v>
      </c>
    </row>
    <row r="2194" spans="1:9">
      <c r="A2194" t="s">
        <v>28</v>
      </c>
      <c r="B2194" t="s">
        <v>129</v>
      </c>
      <c r="C2194">
        <v>2019</v>
      </c>
      <c r="D2194" t="s">
        <v>50</v>
      </c>
      <c r="E2194">
        <v>14</v>
      </c>
      <c r="F2194">
        <v>14</v>
      </c>
      <c r="G2194">
        <v>0</v>
      </c>
      <c r="H2194">
        <v>0</v>
      </c>
      <c r="I2194" t="s">
        <v>24</v>
      </c>
    </row>
    <row r="2195" spans="1:9">
      <c r="A2195" t="s">
        <v>115</v>
      </c>
      <c r="B2195" t="s">
        <v>87</v>
      </c>
      <c r="C2195">
        <v>2019</v>
      </c>
      <c r="D2195" t="s">
        <v>50</v>
      </c>
      <c r="E2195">
        <v>7</v>
      </c>
      <c r="F2195">
        <v>10</v>
      </c>
      <c r="G2195">
        <v>-3</v>
      </c>
      <c r="H2195">
        <v>1</v>
      </c>
      <c r="I2195" t="s">
        <v>24</v>
      </c>
    </row>
    <row r="2196" spans="1:9">
      <c r="A2196" t="s">
        <v>29</v>
      </c>
      <c r="B2196" t="s">
        <v>18</v>
      </c>
      <c r="C2196">
        <v>2019</v>
      </c>
      <c r="D2196" t="s">
        <v>50</v>
      </c>
      <c r="E2196">
        <v>8</v>
      </c>
      <c r="F2196">
        <v>7</v>
      </c>
      <c r="G2196">
        <v>1</v>
      </c>
      <c r="H2196">
        <v>6</v>
      </c>
      <c r="I2196" t="s">
        <v>24</v>
      </c>
    </row>
    <row r="2197" spans="1:9">
      <c r="A2197" t="s">
        <v>31</v>
      </c>
      <c r="B2197" t="s">
        <v>27</v>
      </c>
      <c r="C2197">
        <v>2019</v>
      </c>
      <c r="D2197" t="s">
        <v>50</v>
      </c>
      <c r="E2197">
        <v>1</v>
      </c>
      <c r="F2197">
        <v>2</v>
      </c>
      <c r="G2197">
        <v>-1</v>
      </c>
      <c r="H2197">
        <v>18</v>
      </c>
      <c r="I2197" t="s">
        <v>12</v>
      </c>
    </row>
    <row r="2198" spans="1:9">
      <c r="A2198" t="s">
        <v>32</v>
      </c>
      <c r="B2198" t="s">
        <v>33</v>
      </c>
      <c r="C2198">
        <v>2019</v>
      </c>
      <c r="D2198" t="s">
        <v>50</v>
      </c>
      <c r="E2198">
        <v>5</v>
      </c>
      <c r="F2198">
        <v>6</v>
      </c>
      <c r="G2198">
        <v>-1</v>
      </c>
      <c r="H2198">
        <v>8</v>
      </c>
      <c r="I2198" t="s">
        <v>24</v>
      </c>
    </row>
    <row r="2199" spans="1:9">
      <c r="A2199" t="s">
        <v>34</v>
      </c>
      <c r="B2199" t="s">
        <v>36</v>
      </c>
      <c r="C2199">
        <v>2019</v>
      </c>
      <c r="D2199" t="s">
        <v>50</v>
      </c>
      <c r="E2199">
        <v>0</v>
      </c>
      <c r="F2199">
        <v>18</v>
      </c>
      <c r="G2199">
        <v>-18</v>
      </c>
      <c r="H2199">
        <v>0</v>
      </c>
      <c r="I2199" t="s">
        <v>53</v>
      </c>
    </row>
    <row r="2200" spans="1:9">
      <c r="A2200" t="s">
        <v>35</v>
      </c>
      <c r="B2200" t="s">
        <v>143</v>
      </c>
      <c r="C2200">
        <v>2019</v>
      </c>
      <c r="D2200" t="s">
        <v>50</v>
      </c>
      <c r="E2200">
        <v>18</v>
      </c>
      <c r="F2200">
        <v>15</v>
      </c>
      <c r="G2200">
        <v>3</v>
      </c>
      <c r="H2200">
        <v>0</v>
      </c>
      <c r="I2200" t="s">
        <v>24</v>
      </c>
    </row>
    <row r="2201" spans="1:9">
      <c r="A2201" t="s">
        <v>9</v>
      </c>
      <c r="B2201" t="s">
        <v>10</v>
      </c>
      <c r="C2201">
        <v>2019</v>
      </c>
      <c r="D2201" t="s">
        <v>54</v>
      </c>
      <c r="E2201">
        <v>2</v>
      </c>
      <c r="F2201">
        <v>2</v>
      </c>
      <c r="G2201">
        <v>0</v>
      </c>
      <c r="H2201">
        <v>18</v>
      </c>
      <c r="I2201" t="s">
        <v>12</v>
      </c>
    </row>
    <row r="2202" spans="1:9">
      <c r="A2202" t="s">
        <v>114</v>
      </c>
      <c r="B2202" t="s">
        <v>87</v>
      </c>
      <c r="C2202">
        <v>2019</v>
      </c>
      <c r="D2202" t="s">
        <v>54</v>
      </c>
      <c r="E2202">
        <v>0</v>
      </c>
      <c r="F2202">
        <v>10</v>
      </c>
      <c r="G2202">
        <v>-10</v>
      </c>
      <c r="H2202">
        <v>1</v>
      </c>
      <c r="I2202" t="s">
        <v>24</v>
      </c>
    </row>
    <row r="2203" spans="1:9">
      <c r="A2203" t="s">
        <v>117</v>
      </c>
      <c r="B2203" t="s">
        <v>36</v>
      </c>
      <c r="C2203">
        <v>2019</v>
      </c>
      <c r="D2203" t="s">
        <v>54</v>
      </c>
      <c r="E2203">
        <v>0</v>
      </c>
      <c r="F2203">
        <v>16</v>
      </c>
      <c r="G2203">
        <v>-16</v>
      </c>
      <c r="H2203">
        <v>0</v>
      </c>
      <c r="I2203" t="s">
        <v>53</v>
      </c>
    </row>
    <row r="2204" spans="1:9">
      <c r="A2204" t="s">
        <v>100</v>
      </c>
      <c r="B2204" t="s">
        <v>27</v>
      </c>
      <c r="C2204">
        <v>2019</v>
      </c>
      <c r="D2204" t="s">
        <v>54</v>
      </c>
      <c r="E2204">
        <v>3</v>
      </c>
      <c r="F2204">
        <v>3</v>
      </c>
      <c r="G2204">
        <v>0</v>
      </c>
      <c r="H2204">
        <v>15</v>
      </c>
      <c r="I2204" t="s">
        <v>12</v>
      </c>
    </row>
    <row r="2205" spans="1:9">
      <c r="A2205" t="s">
        <v>128</v>
      </c>
      <c r="B2205" t="s">
        <v>16</v>
      </c>
      <c r="C2205">
        <v>2019</v>
      </c>
      <c r="D2205" t="s">
        <v>54</v>
      </c>
      <c r="E2205">
        <v>14</v>
      </c>
      <c r="F2205">
        <v>18</v>
      </c>
      <c r="G2205">
        <v>-4</v>
      </c>
      <c r="H2205">
        <v>0</v>
      </c>
      <c r="I2205" t="s">
        <v>47</v>
      </c>
    </row>
    <row r="2206" spans="1:9">
      <c r="A2206" t="s">
        <v>15</v>
      </c>
      <c r="B2206" t="s">
        <v>130</v>
      </c>
      <c r="C2206">
        <v>2019</v>
      </c>
      <c r="D2206" t="s">
        <v>54</v>
      </c>
      <c r="E2206">
        <v>15</v>
      </c>
      <c r="F2206">
        <v>14</v>
      </c>
      <c r="G2206">
        <v>1</v>
      </c>
      <c r="H2206">
        <v>0</v>
      </c>
      <c r="I2206" t="s">
        <v>24</v>
      </c>
    </row>
    <row r="2207" spans="1:9">
      <c r="A2207" t="s">
        <v>17</v>
      </c>
      <c r="B2207" t="s">
        <v>129</v>
      </c>
      <c r="C2207">
        <v>2019</v>
      </c>
      <c r="D2207" t="s">
        <v>54</v>
      </c>
      <c r="E2207">
        <v>5</v>
      </c>
      <c r="F2207">
        <v>6</v>
      </c>
      <c r="G2207">
        <v>-1</v>
      </c>
      <c r="H2207">
        <v>8</v>
      </c>
      <c r="I2207" t="s">
        <v>12</v>
      </c>
    </row>
    <row r="2208" spans="1:9">
      <c r="A2208" t="s">
        <v>46</v>
      </c>
      <c r="B2208" t="s">
        <v>130</v>
      </c>
      <c r="C2208">
        <v>2019</v>
      </c>
      <c r="D2208" t="s">
        <v>54</v>
      </c>
      <c r="E2208">
        <v>10</v>
      </c>
      <c r="F2208">
        <v>20</v>
      </c>
      <c r="G2208">
        <v>-10</v>
      </c>
      <c r="H2208">
        <v>0</v>
      </c>
      <c r="I2208" t="s">
        <v>19</v>
      </c>
    </row>
    <row r="2209" spans="1:9">
      <c r="A2209" t="s">
        <v>20</v>
      </c>
      <c r="B2209" t="s">
        <v>10</v>
      </c>
      <c r="C2209">
        <v>2019</v>
      </c>
      <c r="D2209" t="s">
        <v>54</v>
      </c>
      <c r="E2209">
        <v>1</v>
      </c>
      <c r="F2209">
        <v>1</v>
      </c>
      <c r="G2209">
        <v>0</v>
      </c>
      <c r="H2209">
        <v>25</v>
      </c>
      <c r="I2209" t="s">
        <v>12</v>
      </c>
    </row>
    <row r="2210" spans="1:9">
      <c r="A2210" t="s">
        <v>23</v>
      </c>
      <c r="B2210" t="s">
        <v>16</v>
      </c>
      <c r="C2210">
        <v>2019</v>
      </c>
      <c r="D2210" t="s">
        <v>54</v>
      </c>
      <c r="E2210">
        <v>12</v>
      </c>
      <c r="F2210">
        <v>13</v>
      </c>
      <c r="G2210">
        <v>-1</v>
      </c>
      <c r="H2210">
        <v>0</v>
      </c>
      <c r="I2210" t="s">
        <v>24</v>
      </c>
    </row>
    <row r="2211" spans="1:9">
      <c r="A2211" t="s">
        <v>131</v>
      </c>
      <c r="B2211" t="s">
        <v>143</v>
      </c>
      <c r="C2211">
        <v>2019</v>
      </c>
      <c r="D2211" t="s">
        <v>54</v>
      </c>
      <c r="E2211">
        <v>6</v>
      </c>
      <c r="F2211">
        <v>19</v>
      </c>
      <c r="G2211">
        <v>-13</v>
      </c>
      <c r="H2211">
        <v>0</v>
      </c>
      <c r="I2211" t="s">
        <v>19</v>
      </c>
    </row>
    <row r="2212" spans="1:9">
      <c r="A2212" t="s">
        <v>25</v>
      </c>
      <c r="B2212" t="s">
        <v>18</v>
      </c>
      <c r="C2212">
        <v>2019</v>
      </c>
      <c r="D2212" t="s">
        <v>54</v>
      </c>
      <c r="E2212">
        <v>4</v>
      </c>
      <c r="F2212">
        <v>4</v>
      </c>
      <c r="G2212">
        <v>0</v>
      </c>
      <c r="H2212">
        <v>12</v>
      </c>
      <c r="I2212" t="s">
        <v>12</v>
      </c>
    </row>
    <row r="2213" spans="1:9">
      <c r="A2213" t="s">
        <v>26</v>
      </c>
      <c r="B2213" t="s">
        <v>33</v>
      </c>
      <c r="C2213">
        <v>2019</v>
      </c>
      <c r="D2213" t="s">
        <v>54</v>
      </c>
      <c r="E2213">
        <v>9</v>
      </c>
      <c r="F2213">
        <v>7</v>
      </c>
      <c r="G2213">
        <v>2</v>
      </c>
      <c r="H2213">
        <v>6</v>
      </c>
      <c r="I2213" t="s">
        <v>12</v>
      </c>
    </row>
    <row r="2214" spans="1:9">
      <c r="A2214" t="s">
        <v>28</v>
      </c>
      <c r="B2214" t="s">
        <v>129</v>
      </c>
      <c r="C2214">
        <v>2019</v>
      </c>
      <c r="D2214" t="s">
        <v>54</v>
      </c>
      <c r="E2214">
        <v>13</v>
      </c>
      <c r="F2214">
        <v>9</v>
      </c>
      <c r="G2214">
        <v>4</v>
      </c>
      <c r="H2214">
        <v>2</v>
      </c>
      <c r="I2214" t="s">
        <v>12</v>
      </c>
    </row>
    <row r="2215" spans="1:9">
      <c r="A2215" t="s">
        <v>115</v>
      </c>
      <c r="B2215" t="s">
        <v>87</v>
      </c>
      <c r="C2215">
        <v>2019</v>
      </c>
      <c r="D2215" t="s">
        <v>54</v>
      </c>
      <c r="E2215">
        <v>17</v>
      </c>
      <c r="F2215">
        <v>12</v>
      </c>
      <c r="G2215">
        <v>5</v>
      </c>
      <c r="H2215">
        <v>0</v>
      </c>
      <c r="I2215" t="s">
        <v>24</v>
      </c>
    </row>
    <row r="2216" spans="1:9">
      <c r="A2216" t="s">
        <v>29</v>
      </c>
      <c r="B2216" t="s">
        <v>18</v>
      </c>
      <c r="C2216">
        <v>2019</v>
      </c>
      <c r="D2216" t="s">
        <v>54</v>
      </c>
      <c r="E2216">
        <v>0</v>
      </c>
      <c r="F2216">
        <v>17</v>
      </c>
      <c r="G2216">
        <v>-17</v>
      </c>
      <c r="H2216">
        <v>0</v>
      </c>
      <c r="I2216" t="s">
        <v>132</v>
      </c>
    </row>
    <row r="2217" spans="1:9">
      <c r="A2217" t="s">
        <v>31</v>
      </c>
      <c r="B2217" t="s">
        <v>27</v>
      </c>
      <c r="C2217">
        <v>2019</v>
      </c>
      <c r="D2217" t="s">
        <v>54</v>
      </c>
      <c r="E2217">
        <v>8</v>
      </c>
      <c r="F2217">
        <v>5</v>
      </c>
      <c r="G2217">
        <v>3</v>
      </c>
      <c r="H2217">
        <v>11</v>
      </c>
      <c r="I2217" t="s">
        <v>12</v>
      </c>
    </row>
    <row r="2218" spans="1:9">
      <c r="A2218" t="s">
        <v>32</v>
      </c>
      <c r="B2218" t="s">
        <v>33</v>
      </c>
      <c r="C2218">
        <v>2019</v>
      </c>
      <c r="D2218" t="s">
        <v>54</v>
      </c>
      <c r="E2218">
        <v>7</v>
      </c>
      <c r="F2218">
        <v>8</v>
      </c>
      <c r="G2218">
        <v>-1</v>
      </c>
      <c r="H2218">
        <v>4</v>
      </c>
      <c r="I2218" t="s">
        <v>12</v>
      </c>
    </row>
    <row r="2219" spans="1:9">
      <c r="A2219" t="s">
        <v>34</v>
      </c>
      <c r="B2219" t="s">
        <v>36</v>
      </c>
      <c r="C2219">
        <v>2019</v>
      </c>
      <c r="D2219" t="s">
        <v>54</v>
      </c>
      <c r="E2219">
        <v>16</v>
      </c>
      <c r="F2219">
        <v>15</v>
      </c>
      <c r="G2219">
        <v>1</v>
      </c>
      <c r="H2219">
        <v>0</v>
      </c>
      <c r="I2219" t="s">
        <v>53</v>
      </c>
    </row>
    <row r="2220" spans="1:9">
      <c r="A2220" t="s">
        <v>35</v>
      </c>
      <c r="B2220" t="s">
        <v>143</v>
      </c>
      <c r="C2220">
        <v>2019</v>
      </c>
      <c r="D2220" t="s">
        <v>54</v>
      </c>
      <c r="E2220">
        <v>11</v>
      </c>
      <c r="F2220">
        <v>11</v>
      </c>
      <c r="G2220">
        <v>0</v>
      </c>
      <c r="H2220">
        <v>0</v>
      </c>
      <c r="I2220" t="s">
        <v>24</v>
      </c>
    </row>
    <row r="2221" spans="1:9">
      <c r="A2221" t="s">
        <v>9</v>
      </c>
      <c r="B2221" t="s">
        <v>10</v>
      </c>
      <c r="C2221">
        <v>2019</v>
      </c>
      <c r="D2221" t="s">
        <v>57</v>
      </c>
      <c r="E2221">
        <v>3</v>
      </c>
      <c r="F2221">
        <v>1</v>
      </c>
      <c r="G2221">
        <v>2</v>
      </c>
      <c r="H2221">
        <v>25</v>
      </c>
      <c r="I2221" t="s">
        <v>12</v>
      </c>
    </row>
    <row r="2222" spans="1:9">
      <c r="A2222" t="s">
        <v>114</v>
      </c>
      <c r="B2222" t="s">
        <v>87</v>
      </c>
      <c r="C2222">
        <v>2019</v>
      </c>
      <c r="D2222" t="s">
        <v>57</v>
      </c>
      <c r="E2222">
        <v>8</v>
      </c>
      <c r="F2222">
        <v>7</v>
      </c>
      <c r="G2222">
        <v>1</v>
      </c>
      <c r="H2222">
        <v>6</v>
      </c>
      <c r="I2222" t="s">
        <v>12</v>
      </c>
    </row>
    <row r="2223" spans="1:9">
      <c r="A2223" t="s">
        <v>117</v>
      </c>
      <c r="B2223" t="s">
        <v>36</v>
      </c>
      <c r="C2223">
        <v>2019</v>
      </c>
      <c r="D2223" t="s">
        <v>57</v>
      </c>
      <c r="E2223">
        <v>20</v>
      </c>
      <c r="F2223">
        <v>16</v>
      </c>
      <c r="G2223">
        <v>4</v>
      </c>
      <c r="H2223">
        <v>0</v>
      </c>
      <c r="I2223" t="s">
        <v>53</v>
      </c>
    </row>
    <row r="2224" spans="1:9">
      <c r="A2224" t="s">
        <v>100</v>
      </c>
      <c r="B2224" t="s">
        <v>27</v>
      </c>
      <c r="C2224">
        <v>2019</v>
      </c>
      <c r="D2224" t="s">
        <v>57</v>
      </c>
      <c r="E2224">
        <v>2</v>
      </c>
      <c r="F2224">
        <v>5</v>
      </c>
      <c r="G2224">
        <v>-3</v>
      </c>
      <c r="H2224">
        <v>10</v>
      </c>
      <c r="I2224" t="s">
        <v>12</v>
      </c>
    </row>
    <row r="2225" spans="1:9">
      <c r="A2225" t="s">
        <v>128</v>
      </c>
      <c r="B2225" t="s">
        <v>16</v>
      </c>
      <c r="C2225">
        <v>2019</v>
      </c>
      <c r="D2225" t="s">
        <v>57</v>
      </c>
      <c r="E2225">
        <v>11</v>
      </c>
      <c r="F2225">
        <v>20</v>
      </c>
      <c r="G2225">
        <v>-9</v>
      </c>
      <c r="H2225">
        <v>0</v>
      </c>
      <c r="I2225" t="s">
        <v>55</v>
      </c>
    </row>
    <row r="2226" spans="1:9">
      <c r="A2226" t="s">
        <v>15</v>
      </c>
      <c r="B2226" t="s">
        <v>130</v>
      </c>
      <c r="C2226">
        <v>2019</v>
      </c>
      <c r="D2226" t="s">
        <v>57</v>
      </c>
      <c r="E2226">
        <v>17</v>
      </c>
      <c r="F2226">
        <v>17</v>
      </c>
      <c r="G2226">
        <v>0</v>
      </c>
      <c r="H2226">
        <v>0</v>
      </c>
      <c r="I2226" t="s">
        <v>42</v>
      </c>
    </row>
    <row r="2227" spans="1:9">
      <c r="A2227" t="s">
        <v>17</v>
      </c>
      <c r="B2227" t="s">
        <v>129</v>
      </c>
      <c r="C2227">
        <v>2019</v>
      </c>
      <c r="D2227" t="s">
        <v>57</v>
      </c>
      <c r="E2227">
        <v>14</v>
      </c>
      <c r="F2227">
        <v>10</v>
      </c>
      <c r="G2227">
        <v>4</v>
      </c>
      <c r="H2227">
        <v>1</v>
      </c>
      <c r="I2227" t="s">
        <v>12</v>
      </c>
    </row>
    <row r="2228" spans="1:9">
      <c r="A2228" t="s">
        <v>46</v>
      </c>
      <c r="B2228" t="s">
        <v>130</v>
      </c>
      <c r="C2228">
        <v>2019</v>
      </c>
      <c r="D2228" t="s">
        <v>57</v>
      </c>
      <c r="E2228">
        <v>10</v>
      </c>
      <c r="F2228">
        <v>18</v>
      </c>
      <c r="G2228">
        <v>-8</v>
      </c>
      <c r="H2228">
        <v>0</v>
      </c>
      <c r="I2228" t="s">
        <v>144</v>
      </c>
    </row>
    <row r="2229" spans="1:9">
      <c r="A2229" t="s">
        <v>20</v>
      </c>
      <c r="B2229" t="s">
        <v>10</v>
      </c>
      <c r="C2229">
        <v>2019</v>
      </c>
      <c r="D2229" t="s">
        <v>57</v>
      </c>
      <c r="E2229">
        <v>4</v>
      </c>
      <c r="F2229">
        <v>2</v>
      </c>
      <c r="G2229">
        <v>2</v>
      </c>
      <c r="H2229">
        <v>18</v>
      </c>
      <c r="I2229" t="s">
        <v>12</v>
      </c>
    </row>
    <row r="2230" spans="1:9">
      <c r="A2230" t="s">
        <v>23</v>
      </c>
      <c r="B2230" t="s">
        <v>16</v>
      </c>
      <c r="C2230">
        <v>2019</v>
      </c>
      <c r="D2230" t="s">
        <v>57</v>
      </c>
      <c r="E2230">
        <v>6</v>
      </c>
      <c r="F2230">
        <v>13</v>
      </c>
      <c r="G2230">
        <v>-7</v>
      </c>
      <c r="H2230">
        <v>0</v>
      </c>
      <c r="I2230" t="s">
        <v>24</v>
      </c>
    </row>
    <row r="2231" spans="1:9">
      <c r="A2231" t="s">
        <v>131</v>
      </c>
      <c r="B2231" t="s">
        <v>143</v>
      </c>
      <c r="C2231">
        <v>2019</v>
      </c>
      <c r="D2231" t="s">
        <v>57</v>
      </c>
      <c r="E2231">
        <v>15</v>
      </c>
      <c r="F2231">
        <v>12</v>
      </c>
      <c r="G2231">
        <v>3</v>
      </c>
      <c r="H2231">
        <v>0</v>
      </c>
      <c r="I2231" t="s">
        <v>24</v>
      </c>
    </row>
    <row r="2232" spans="1:9">
      <c r="A2232" t="s">
        <v>25</v>
      </c>
      <c r="B2232" t="s">
        <v>18</v>
      </c>
      <c r="C2232">
        <v>2019</v>
      </c>
      <c r="D2232" t="s">
        <v>57</v>
      </c>
      <c r="E2232">
        <v>5</v>
      </c>
      <c r="F2232">
        <v>4</v>
      </c>
      <c r="G2232">
        <v>1</v>
      </c>
      <c r="H2232">
        <v>12</v>
      </c>
      <c r="I2232" t="s">
        <v>12</v>
      </c>
    </row>
    <row r="2233" spans="1:9">
      <c r="A2233" t="s">
        <v>26</v>
      </c>
      <c r="B2233" t="s">
        <v>33</v>
      </c>
      <c r="C2233">
        <v>2019</v>
      </c>
      <c r="D2233" t="s">
        <v>57</v>
      </c>
      <c r="E2233">
        <v>7</v>
      </c>
      <c r="F2233">
        <v>19</v>
      </c>
      <c r="G2233">
        <v>-12</v>
      </c>
      <c r="H2233">
        <v>0</v>
      </c>
      <c r="I2233" t="s">
        <v>22</v>
      </c>
    </row>
    <row r="2234" spans="1:9">
      <c r="A2234" t="s">
        <v>28</v>
      </c>
      <c r="B2234" t="s">
        <v>129</v>
      </c>
      <c r="C2234">
        <v>2019</v>
      </c>
      <c r="D2234" t="s">
        <v>57</v>
      </c>
      <c r="E2234">
        <v>18</v>
      </c>
      <c r="F2234">
        <v>14</v>
      </c>
      <c r="G2234">
        <v>4</v>
      </c>
      <c r="H2234">
        <v>0</v>
      </c>
      <c r="I2234" t="s">
        <v>24</v>
      </c>
    </row>
    <row r="2235" spans="1:9">
      <c r="A2235" t="s">
        <v>115</v>
      </c>
      <c r="B2235" t="s">
        <v>87</v>
      </c>
      <c r="C2235">
        <v>2019</v>
      </c>
      <c r="D2235" t="s">
        <v>57</v>
      </c>
      <c r="E2235">
        <v>16</v>
      </c>
      <c r="F2235">
        <v>11</v>
      </c>
      <c r="G2235">
        <v>5</v>
      </c>
      <c r="H2235">
        <v>0</v>
      </c>
      <c r="I2235" t="s">
        <v>12</v>
      </c>
    </row>
    <row r="2236" spans="1:9">
      <c r="A2236" t="s">
        <v>29</v>
      </c>
      <c r="B2236" t="s">
        <v>18</v>
      </c>
      <c r="C2236">
        <v>2019</v>
      </c>
      <c r="D2236" t="s">
        <v>57</v>
      </c>
      <c r="E2236">
        <v>13</v>
      </c>
      <c r="F2236">
        <v>8</v>
      </c>
      <c r="G2236">
        <v>5</v>
      </c>
      <c r="H2236">
        <v>4</v>
      </c>
      <c r="I2236" t="s">
        <v>12</v>
      </c>
    </row>
    <row r="2237" spans="1:9">
      <c r="A2237" t="s">
        <v>31</v>
      </c>
      <c r="B2237" t="s">
        <v>27</v>
      </c>
      <c r="C2237">
        <v>2019</v>
      </c>
      <c r="D2237" t="s">
        <v>57</v>
      </c>
      <c r="E2237">
        <v>1</v>
      </c>
      <c r="F2237">
        <v>3</v>
      </c>
      <c r="G2237">
        <v>-2</v>
      </c>
      <c r="H2237">
        <v>16</v>
      </c>
      <c r="I2237" t="s">
        <v>12</v>
      </c>
    </row>
    <row r="2238" spans="1:9">
      <c r="A2238" t="s">
        <v>32</v>
      </c>
      <c r="B2238" t="s">
        <v>33</v>
      </c>
      <c r="C2238">
        <v>2019</v>
      </c>
      <c r="D2238" t="s">
        <v>57</v>
      </c>
      <c r="E2238">
        <v>9</v>
      </c>
      <c r="F2238">
        <v>6</v>
      </c>
      <c r="G2238">
        <v>3</v>
      </c>
      <c r="H2238">
        <v>8</v>
      </c>
      <c r="I2238" t="s">
        <v>12</v>
      </c>
    </row>
    <row r="2239" spans="1:9">
      <c r="A2239" t="s">
        <v>34</v>
      </c>
      <c r="B2239" t="s">
        <v>36</v>
      </c>
      <c r="C2239">
        <v>2019</v>
      </c>
      <c r="D2239" t="s">
        <v>57</v>
      </c>
      <c r="E2239">
        <v>19</v>
      </c>
      <c r="F2239">
        <v>15</v>
      </c>
      <c r="G2239">
        <v>4</v>
      </c>
      <c r="H2239">
        <v>0</v>
      </c>
      <c r="I2239" t="s">
        <v>24</v>
      </c>
    </row>
    <row r="2240" spans="1:9">
      <c r="A2240" t="s">
        <v>35</v>
      </c>
      <c r="B2240" t="s">
        <v>143</v>
      </c>
      <c r="C2240">
        <v>2019</v>
      </c>
      <c r="D2240" t="s">
        <v>57</v>
      </c>
      <c r="E2240">
        <v>12</v>
      </c>
      <c r="F2240">
        <v>9</v>
      </c>
      <c r="G2240">
        <v>3</v>
      </c>
      <c r="H2240">
        <v>2</v>
      </c>
      <c r="I2240" t="s">
        <v>12</v>
      </c>
    </row>
    <row r="2241" spans="1:9">
      <c r="A2241" t="s">
        <v>9</v>
      </c>
      <c r="B2241" t="s">
        <v>10</v>
      </c>
      <c r="C2241">
        <v>2019</v>
      </c>
      <c r="D2241" t="s">
        <v>58</v>
      </c>
      <c r="E2241">
        <v>3</v>
      </c>
      <c r="F2241">
        <v>2</v>
      </c>
      <c r="G2241">
        <v>1</v>
      </c>
      <c r="H2241">
        <v>18</v>
      </c>
      <c r="I2241" t="s">
        <v>12</v>
      </c>
    </row>
    <row r="2242" spans="1:9">
      <c r="A2242" t="s">
        <v>114</v>
      </c>
      <c r="B2242" t="s">
        <v>87</v>
      </c>
      <c r="C2242">
        <v>2019</v>
      </c>
      <c r="D2242" t="s">
        <v>58</v>
      </c>
      <c r="E2242">
        <v>6</v>
      </c>
      <c r="F2242">
        <v>16</v>
      </c>
      <c r="G2242">
        <v>-10</v>
      </c>
      <c r="H2242">
        <v>0</v>
      </c>
      <c r="I2242" t="s">
        <v>24</v>
      </c>
    </row>
    <row r="2243" spans="1:9">
      <c r="A2243" t="s">
        <v>117</v>
      </c>
      <c r="B2243" t="s">
        <v>36</v>
      </c>
      <c r="C2243">
        <v>2019</v>
      </c>
      <c r="D2243" t="s">
        <v>58</v>
      </c>
      <c r="E2243">
        <v>0</v>
      </c>
      <c r="F2243">
        <v>17</v>
      </c>
      <c r="G2243">
        <v>-17</v>
      </c>
      <c r="H2243">
        <v>0</v>
      </c>
      <c r="I2243" t="s">
        <v>24</v>
      </c>
    </row>
    <row r="2244" spans="1:9">
      <c r="A2244" t="s">
        <v>100</v>
      </c>
      <c r="B2244" t="s">
        <v>27</v>
      </c>
      <c r="C2244">
        <v>2019</v>
      </c>
      <c r="D2244" t="s">
        <v>58</v>
      </c>
      <c r="E2244">
        <v>2</v>
      </c>
      <c r="F2244">
        <v>4</v>
      </c>
      <c r="G2244">
        <v>-2</v>
      </c>
      <c r="H2244">
        <v>13</v>
      </c>
      <c r="I2244" t="s">
        <v>12</v>
      </c>
    </row>
    <row r="2245" spans="1:9">
      <c r="A2245" t="s">
        <v>128</v>
      </c>
      <c r="B2245" t="s">
        <v>16</v>
      </c>
      <c r="C2245">
        <v>2019</v>
      </c>
      <c r="D2245" t="s">
        <v>58</v>
      </c>
      <c r="E2245">
        <v>9</v>
      </c>
      <c r="F2245">
        <v>13</v>
      </c>
      <c r="G2245">
        <v>-4</v>
      </c>
      <c r="H2245">
        <v>0</v>
      </c>
      <c r="I2245" t="s">
        <v>24</v>
      </c>
    </row>
    <row r="2246" spans="1:9">
      <c r="A2246" t="s">
        <v>15</v>
      </c>
      <c r="B2246" t="s">
        <v>130</v>
      </c>
      <c r="C2246">
        <v>2019</v>
      </c>
      <c r="D2246" t="s">
        <v>58</v>
      </c>
      <c r="E2246">
        <v>12</v>
      </c>
      <c r="F2246">
        <v>8</v>
      </c>
      <c r="G2246">
        <v>4</v>
      </c>
      <c r="H2246">
        <v>4</v>
      </c>
      <c r="I2246" t="s">
        <v>12</v>
      </c>
    </row>
    <row r="2247" spans="1:9">
      <c r="A2247" t="s">
        <v>17</v>
      </c>
      <c r="B2247" t="s">
        <v>129</v>
      </c>
      <c r="C2247">
        <v>2019</v>
      </c>
      <c r="D2247" t="s">
        <v>58</v>
      </c>
      <c r="E2247">
        <v>7</v>
      </c>
      <c r="F2247">
        <v>6</v>
      </c>
      <c r="G2247">
        <v>1</v>
      </c>
      <c r="H2247">
        <v>8</v>
      </c>
      <c r="I2247" t="s">
        <v>12</v>
      </c>
    </row>
    <row r="2248" spans="1:9">
      <c r="A2248" t="s">
        <v>46</v>
      </c>
      <c r="B2248" t="s">
        <v>130</v>
      </c>
      <c r="C2248">
        <v>2019</v>
      </c>
      <c r="D2248" t="s">
        <v>58</v>
      </c>
      <c r="E2248">
        <v>10</v>
      </c>
      <c r="F2248">
        <v>14</v>
      </c>
      <c r="G2248">
        <v>-4</v>
      </c>
      <c r="H2248">
        <v>0</v>
      </c>
      <c r="I2248" t="s">
        <v>24</v>
      </c>
    </row>
    <row r="2249" spans="1:9">
      <c r="A2249" t="s">
        <v>20</v>
      </c>
      <c r="B2249" t="s">
        <v>10</v>
      </c>
      <c r="C2249">
        <v>2019</v>
      </c>
      <c r="D2249" t="s">
        <v>58</v>
      </c>
      <c r="E2249">
        <v>4</v>
      </c>
      <c r="F2249">
        <v>3</v>
      </c>
      <c r="G2249">
        <v>1</v>
      </c>
      <c r="H2249">
        <v>15</v>
      </c>
      <c r="I2249" t="s">
        <v>12</v>
      </c>
    </row>
    <row r="2250" spans="1:9">
      <c r="A2250" t="s">
        <v>23</v>
      </c>
      <c r="B2250" t="s">
        <v>16</v>
      </c>
      <c r="C2250">
        <v>2019</v>
      </c>
      <c r="D2250" t="s">
        <v>58</v>
      </c>
      <c r="E2250">
        <v>8</v>
      </c>
      <c r="F2250">
        <v>12</v>
      </c>
      <c r="G2250">
        <v>-4</v>
      </c>
      <c r="H2250">
        <v>0</v>
      </c>
      <c r="I2250" t="s">
        <v>24</v>
      </c>
    </row>
    <row r="2251" spans="1:9">
      <c r="A2251" t="s">
        <v>131</v>
      </c>
      <c r="B2251" t="s">
        <v>143</v>
      </c>
      <c r="C2251">
        <v>2019</v>
      </c>
      <c r="D2251" t="s">
        <v>58</v>
      </c>
      <c r="E2251">
        <v>19</v>
      </c>
      <c r="F2251">
        <v>7</v>
      </c>
      <c r="G2251">
        <v>12</v>
      </c>
      <c r="H2251">
        <v>6</v>
      </c>
      <c r="I2251" t="s">
        <v>12</v>
      </c>
    </row>
    <row r="2252" spans="1:9">
      <c r="A2252" t="s">
        <v>25</v>
      </c>
      <c r="B2252" t="s">
        <v>18</v>
      </c>
      <c r="C2252">
        <v>2019</v>
      </c>
      <c r="D2252" t="s">
        <v>58</v>
      </c>
      <c r="E2252">
        <v>5</v>
      </c>
      <c r="F2252">
        <v>20</v>
      </c>
      <c r="G2252">
        <v>-15</v>
      </c>
      <c r="H2252">
        <v>0</v>
      </c>
      <c r="I2252" t="s">
        <v>49</v>
      </c>
    </row>
    <row r="2253" spans="1:9">
      <c r="A2253" t="s">
        <v>26</v>
      </c>
      <c r="B2253" t="s">
        <v>33</v>
      </c>
      <c r="C2253">
        <v>2019</v>
      </c>
      <c r="D2253" t="s">
        <v>58</v>
      </c>
      <c r="E2253">
        <v>15</v>
      </c>
      <c r="F2253">
        <v>19</v>
      </c>
      <c r="G2253">
        <v>-4</v>
      </c>
      <c r="H2253">
        <v>0</v>
      </c>
      <c r="I2253" t="s">
        <v>89</v>
      </c>
    </row>
    <row r="2254" spans="1:9">
      <c r="A2254" t="s">
        <v>28</v>
      </c>
      <c r="B2254" t="s">
        <v>129</v>
      </c>
      <c r="C2254">
        <v>2019</v>
      </c>
      <c r="D2254" t="s">
        <v>58</v>
      </c>
      <c r="E2254">
        <v>16</v>
      </c>
      <c r="F2254">
        <v>10</v>
      </c>
      <c r="G2254">
        <v>6</v>
      </c>
      <c r="H2254">
        <v>1</v>
      </c>
      <c r="I2254" t="s">
        <v>12</v>
      </c>
    </row>
    <row r="2255" spans="1:9">
      <c r="A2255" t="s">
        <v>115</v>
      </c>
      <c r="B2255" t="s">
        <v>87</v>
      </c>
      <c r="C2255">
        <v>2019</v>
      </c>
      <c r="D2255" t="s">
        <v>58</v>
      </c>
      <c r="E2255">
        <v>18</v>
      </c>
      <c r="F2255">
        <v>18</v>
      </c>
      <c r="G2255">
        <v>0</v>
      </c>
      <c r="H2255">
        <v>0</v>
      </c>
      <c r="I2255" t="s">
        <v>49</v>
      </c>
    </row>
    <row r="2256" spans="1:9">
      <c r="A2256" t="s">
        <v>29</v>
      </c>
      <c r="B2256" t="s">
        <v>143</v>
      </c>
      <c r="C2256">
        <v>2019</v>
      </c>
      <c r="D2256" t="s">
        <v>58</v>
      </c>
      <c r="E2256">
        <v>13</v>
      </c>
      <c r="F2256">
        <v>9</v>
      </c>
      <c r="G2256">
        <v>4</v>
      </c>
      <c r="H2256">
        <v>2</v>
      </c>
      <c r="I2256" t="s">
        <v>12</v>
      </c>
    </row>
    <row r="2257" spans="1:9">
      <c r="A2257" t="s">
        <v>31</v>
      </c>
      <c r="B2257" t="s">
        <v>27</v>
      </c>
      <c r="C2257">
        <v>2019</v>
      </c>
      <c r="D2257" t="s">
        <v>58</v>
      </c>
      <c r="E2257">
        <v>1</v>
      </c>
      <c r="F2257">
        <v>1</v>
      </c>
      <c r="G2257">
        <v>0</v>
      </c>
      <c r="H2257">
        <v>25</v>
      </c>
      <c r="I2257" t="s">
        <v>12</v>
      </c>
    </row>
    <row r="2258" spans="1:9">
      <c r="A2258" t="s">
        <v>32</v>
      </c>
      <c r="B2258" t="s">
        <v>33</v>
      </c>
      <c r="C2258">
        <v>2019</v>
      </c>
      <c r="D2258" t="s">
        <v>58</v>
      </c>
      <c r="E2258">
        <v>11</v>
      </c>
      <c r="F2258">
        <v>11</v>
      </c>
      <c r="G2258">
        <v>0</v>
      </c>
      <c r="H2258">
        <v>0</v>
      </c>
      <c r="I2258" t="s">
        <v>42</v>
      </c>
    </row>
    <row r="2259" spans="1:9">
      <c r="A2259" t="s">
        <v>34</v>
      </c>
      <c r="B2259" t="s">
        <v>36</v>
      </c>
      <c r="C2259">
        <v>2019</v>
      </c>
      <c r="D2259" t="s">
        <v>58</v>
      </c>
      <c r="E2259">
        <v>14</v>
      </c>
      <c r="F2259">
        <v>15</v>
      </c>
      <c r="G2259">
        <v>-1</v>
      </c>
      <c r="H2259">
        <v>0</v>
      </c>
      <c r="I2259" t="s">
        <v>24</v>
      </c>
    </row>
    <row r="2260" spans="1:9">
      <c r="A2260" t="s">
        <v>35</v>
      </c>
      <c r="B2260" t="s">
        <v>18</v>
      </c>
      <c r="C2260">
        <v>2019</v>
      </c>
      <c r="D2260" t="s">
        <v>58</v>
      </c>
      <c r="E2260">
        <v>17</v>
      </c>
      <c r="F2260">
        <v>5</v>
      </c>
      <c r="G2260">
        <v>12</v>
      </c>
      <c r="H2260">
        <v>10</v>
      </c>
      <c r="I2260" t="s">
        <v>12</v>
      </c>
    </row>
    <row r="2261" spans="1:9">
      <c r="A2261" t="s">
        <v>9</v>
      </c>
      <c r="B2261" t="s">
        <v>10</v>
      </c>
      <c r="C2261">
        <v>2019</v>
      </c>
      <c r="D2261" t="s">
        <v>145</v>
      </c>
      <c r="E2261">
        <v>3</v>
      </c>
      <c r="F2261">
        <v>7</v>
      </c>
      <c r="G2261">
        <v>-4</v>
      </c>
      <c r="H2261">
        <v>6</v>
      </c>
      <c r="I2261" t="s">
        <v>12</v>
      </c>
    </row>
    <row r="2262" spans="1:9">
      <c r="A2262" t="s">
        <v>114</v>
      </c>
      <c r="B2262" t="s">
        <v>87</v>
      </c>
      <c r="C2262">
        <v>2019</v>
      </c>
      <c r="D2262" t="s">
        <v>145</v>
      </c>
      <c r="E2262">
        <v>8</v>
      </c>
      <c r="F2262">
        <v>4</v>
      </c>
      <c r="G2262">
        <v>4</v>
      </c>
      <c r="H2262">
        <v>12</v>
      </c>
      <c r="I2262" t="s">
        <v>12</v>
      </c>
    </row>
    <row r="2263" spans="1:9">
      <c r="A2263" t="s">
        <v>117</v>
      </c>
      <c r="B2263" t="s">
        <v>36</v>
      </c>
      <c r="C2263">
        <v>2019</v>
      </c>
      <c r="D2263" t="s">
        <v>145</v>
      </c>
      <c r="E2263">
        <v>19</v>
      </c>
      <c r="F2263">
        <v>16</v>
      </c>
      <c r="G2263">
        <v>3</v>
      </c>
      <c r="H2263">
        <v>0</v>
      </c>
      <c r="I2263" t="s">
        <v>24</v>
      </c>
    </row>
    <row r="2264" spans="1:9">
      <c r="A2264" t="s">
        <v>100</v>
      </c>
      <c r="B2264" t="s">
        <v>27</v>
      </c>
      <c r="C2264">
        <v>2019</v>
      </c>
      <c r="D2264" t="s">
        <v>145</v>
      </c>
      <c r="E2264">
        <v>2</v>
      </c>
      <c r="F2264">
        <v>17</v>
      </c>
      <c r="G2264">
        <v>-15</v>
      </c>
      <c r="H2264">
        <v>0</v>
      </c>
      <c r="I2264" t="s">
        <v>19</v>
      </c>
    </row>
    <row r="2265" spans="1:9">
      <c r="A2265" t="s">
        <v>128</v>
      </c>
      <c r="B2265" t="s">
        <v>16</v>
      </c>
      <c r="C2265">
        <v>2019</v>
      </c>
      <c r="D2265" t="s">
        <v>145</v>
      </c>
      <c r="E2265">
        <v>7</v>
      </c>
      <c r="F2265">
        <v>13</v>
      </c>
      <c r="G2265">
        <v>-6</v>
      </c>
      <c r="H2265">
        <v>0</v>
      </c>
      <c r="I2265" t="s">
        <v>12</v>
      </c>
    </row>
    <row r="2266" spans="1:9">
      <c r="A2266" t="s">
        <v>15</v>
      </c>
      <c r="B2266" t="s">
        <v>130</v>
      </c>
      <c r="C2266">
        <v>2019</v>
      </c>
      <c r="D2266" t="s">
        <v>145</v>
      </c>
      <c r="E2266">
        <v>13</v>
      </c>
      <c r="F2266">
        <v>15</v>
      </c>
      <c r="G2266">
        <v>-2</v>
      </c>
      <c r="H2266">
        <v>0</v>
      </c>
      <c r="I2266" t="s">
        <v>12</v>
      </c>
    </row>
    <row r="2267" spans="1:9">
      <c r="A2267" t="s">
        <v>17</v>
      </c>
      <c r="B2267" t="s">
        <v>129</v>
      </c>
      <c r="C2267">
        <v>2019</v>
      </c>
      <c r="D2267" t="s">
        <v>145</v>
      </c>
      <c r="E2267">
        <v>15</v>
      </c>
      <c r="F2267">
        <v>9</v>
      </c>
      <c r="G2267">
        <v>6</v>
      </c>
      <c r="H2267">
        <v>2</v>
      </c>
      <c r="I2267" t="s">
        <v>12</v>
      </c>
    </row>
    <row r="2268" spans="1:9">
      <c r="A2268" t="s">
        <v>46</v>
      </c>
      <c r="B2268" t="s">
        <v>130</v>
      </c>
      <c r="C2268">
        <v>2019</v>
      </c>
      <c r="D2268" t="s">
        <v>145</v>
      </c>
      <c r="E2268">
        <v>11</v>
      </c>
      <c r="F2268">
        <v>6</v>
      </c>
      <c r="G2268">
        <v>5</v>
      </c>
      <c r="H2268">
        <v>8</v>
      </c>
      <c r="I2268" t="s">
        <v>12</v>
      </c>
    </row>
    <row r="2269" spans="1:9">
      <c r="A2269" t="s">
        <v>20</v>
      </c>
      <c r="B2269" t="s">
        <v>10</v>
      </c>
      <c r="C2269">
        <v>2019</v>
      </c>
      <c r="D2269" t="s">
        <v>145</v>
      </c>
      <c r="E2269">
        <v>4</v>
      </c>
      <c r="F2269">
        <v>20</v>
      </c>
      <c r="G2269">
        <v>-16</v>
      </c>
      <c r="H2269">
        <v>0</v>
      </c>
      <c r="I2269" t="s">
        <v>81</v>
      </c>
    </row>
    <row r="2270" spans="1:9">
      <c r="A2270" t="s">
        <v>23</v>
      </c>
      <c r="B2270" t="s">
        <v>16</v>
      </c>
      <c r="C2270">
        <v>2019</v>
      </c>
      <c r="D2270" t="s">
        <v>145</v>
      </c>
      <c r="E2270">
        <v>9</v>
      </c>
      <c r="F2270">
        <v>11</v>
      </c>
      <c r="G2270">
        <v>-2</v>
      </c>
      <c r="H2270">
        <v>0</v>
      </c>
      <c r="I2270" t="s">
        <v>12</v>
      </c>
    </row>
    <row r="2271" spans="1:9">
      <c r="A2271" t="s">
        <v>131</v>
      </c>
      <c r="B2271" t="s">
        <v>143</v>
      </c>
      <c r="C2271">
        <v>2019</v>
      </c>
      <c r="D2271" t="s">
        <v>145</v>
      </c>
      <c r="E2271">
        <v>16</v>
      </c>
      <c r="F2271">
        <v>10</v>
      </c>
      <c r="G2271">
        <v>6</v>
      </c>
      <c r="H2271">
        <v>1</v>
      </c>
      <c r="I2271" t="s">
        <v>12</v>
      </c>
    </row>
    <row r="2272" spans="1:9">
      <c r="A2272" t="s">
        <v>25</v>
      </c>
      <c r="B2272" t="s">
        <v>18</v>
      </c>
      <c r="C2272">
        <v>2019</v>
      </c>
      <c r="D2272" t="s">
        <v>145</v>
      </c>
      <c r="E2272">
        <v>1</v>
      </c>
      <c r="F2272">
        <v>1</v>
      </c>
      <c r="G2272">
        <v>0</v>
      </c>
      <c r="H2272">
        <v>25</v>
      </c>
      <c r="I2272" t="s">
        <v>12</v>
      </c>
    </row>
    <row r="2273" spans="1:9">
      <c r="A2273" t="s">
        <v>26</v>
      </c>
      <c r="B2273" t="s">
        <v>33</v>
      </c>
      <c r="C2273">
        <v>2019</v>
      </c>
      <c r="D2273" t="s">
        <v>145</v>
      </c>
      <c r="E2273">
        <v>20</v>
      </c>
      <c r="F2273">
        <v>3</v>
      </c>
      <c r="G2273">
        <v>17</v>
      </c>
      <c r="H2273">
        <v>15</v>
      </c>
      <c r="I2273" t="s">
        <v>12</v>
      </c>
    </row>
    <row r="2274" spans="1:9">
      <c r="A2274" t="s">
        <v>28</v>
      </c>
      <c r="B2274" t="s">
        <v>129</v>
      </c>
      <c r="C2274">
        <v>2019</v>
      </c>
      <c r="D2274" t="s">
        <v>145</v>
      </c>
      <c r="E2274">
        <v>17</v>
      </c>
      <c r="F2274">
        <v>19</v>
      </c>
      <c r="G2274">
        <v>-2</v>
      </c>
      <c r="H2274">
        <v>0</v>
      </c>
      <c r="I2274" t="s">
        <v>110</v>
      </c>
    </row>
    <row r="2275" spans="1:9">
      <c r="A2275" t="s">
        <v>115</v>
      </c>
      <c r="B2275" t="s">
        <v>87</v>
      </c>
      <c r="C2275">
        <v>2019</v>
      </c>
      <c r="D2275" t="s">
        <v>145</v>
      </c>
      <c r="E2275">
        <v>12</v>
      </c>
      <c r="F2275">
        <v>5</v>
      </c>
      <c r="G2275">
        <v>7</v>
      </c>
      <c r="H2275">
        <v>10</v>
      </c>
      <c r="I2275" t="s">
        <v>12</v>
      </c>
    </row>
    <row r="2276" spans="1:9">
      <c r="A2276" t="s">
        <v>29</v>
      </c>
      <c r="B2276" t="s">
        <v>143</v>
      </c>
      <c r="C2276">
        <v>2019</v>
      </c>
      <c r="D2276" t="s">
        <v>145</v>
      </c>
      <c r="E2276">
        <v>6</v>
      </c>
      <c r="F2276">
        <v>2</v>
      </c>
      <c r="G2276">
        <v>4</v>
      </c>
      <c r="H2276">
        <v>18</v>
      </c>
      <c r="I2276" t="s">
        <v>12</v>
      </c>
    </row>
    <row r="2277" spans="1:9">
      <c r="A2277" t="s">
        <v>31</v>
      </c>
      <c r="B2277" t="s">
        <v>27</v>
      </c>
      <c r="C2277">
        <v>2019</v>
      </c>
      <c r="D2277" t="s">
        <v>145</v>
      </c>
      <c r="E2277">
        <v>14</v>
      </c>
      <c r="F2277">
        <v>18</v>
      </c>
      <c r="G2277">
        <v>-4</v>
      </c>
      <c r="H2277">
        <v>0</v>
      </c>
      <c r="I2277" t="s">
        <v>19</v>
      </c>
    </row>
    <row r="2278" spans="1:9">
      <c r="A2278" t="s">
        <v>32</v>
      </c>
      <c r="B2278" t="s">
        <v>33</v>
      </c>
      <c r="C2278">
        <v>2019</v>
      </c>
      <c r="D2278" t="s">
        <v>145</v>
      </c>
      <c r="E2278">
        <v>10</v>
      </c>
      <c r="F2278">
        <v>8</v>
      </c>
      <c r="G2278">
        <v>2</v>
      </c>
      <c r="H2278">
        <v>4</v>
      </c>
      <c r="I2278" t="s">
        <v>12</v>
      </c>
    </row>
    <row r="2279" spans="1:9">
      <c r="A2279" t="s">
        <v>34</v>
      </c>
      <c r="B2279" t="s">
        <v>36</v>
      </c>
      <c r="C2279">
        <v>2019</v>
      </c>
      <c r="D2279" t="s">
        <v>145</v>
      </c>
      <c r="E2279">
        <v>18</v>
      </c>
      <c r="F2279">
        <v>12</v>
      </c>
      <c r="G2279">
        <v>6</v>
      </c>
      <c r="H2279">
        <v>0</v>
      </c>
      <c r="I2279" t="s">
        <v>12</v>
      </c>
    </row>
    <row r="2280" spans="1:9">
      <c r="A2280" t="s">
        <v>35</v>
      </c>
      <c r="B2280" t="s">
        <v>18</v>
      </c>
      <c r="C2280">
        <v>2019</v>
      </c>
      <c r="D2280" t="s">
        <v>145</v>
      </c>
      <c r="E2280">
        <v>5</v>
      </c>
      <c r="F2280">
        <v>14</v>
      </c>
      <c r="G2280">
        <v>-9</v>
      </c>
      <c r="H2280">
        <v>0</v>
      </c>
      <c r="I2280" t="s">
        <v>12</v>
      </c>
    </row>
    <row r="2281" spans="1:9">
      <c r="A2281" t="s">
        <v>9</v>
      </c>
      <c r="B2281" t="s">
        <v>10</v>
      </c>
      <c r="C2281">
        <v>2019</v>
      </c>
      <c r="D2281" t="s">
        <v>60</v>
      </c>
      <c r="E2281">
        <v>2</v>
      </c>
      <c r="F2281">
        <v>1</v>
      </c>
      <c r="G2281">
        <v>1</v>
      </c>
      <c r="H2281">
        <v>26</v>
      </c>
      <c r="I2281" t="s">
        <v>12</v>
      </c>
    </row>
    <row r="2282" spans="1:9">
      <c r="A2282" t="s">
        <v>114</v>
      </c>
      <c r="B2282" t="s">
        <v>87</v>
      </c>
      <c r="C2282">
        <v>2019</v>
      </c>
      <c r="D2282" t="s">
        <v>60</v>
      </c>
      <c r="E2282">
        <v>12</v>
      </c>
      <c r="F2282">
        <v>8</v>
      </c>
      <c r="G2282">
        <v>4</v>
      </c>
      <c r="H2282">
        <v>4</v>
      </c>
      <c r="I2282" t="s">
        <v>12</v>
      </c>
    </row>
    <row r="2283" spans="1:9">
      <c r="A2283" t="s">
        <v>117</v>
      </c>
      <c r="B2283" t="s">
        <v>36</v>
      </c>
      <c r="C2283">
        <v>2019</v>
      </c>
      <c r="D2283" t="s">
        <v>60</v>
      </c>
      <c r="E2283">
        <v>20</v>
      </c>
      <c r="F2283">
        <v>15</v>
      </c>
      <c r="G2283">
        <v>5</v>
      </c>
      <c r="H2283">
        <v>0</v>
      </c>
      <c r="I2283" t="s">
        <v>24</v>
      </c>
    </row>
    <row r="2284" spans="1:9">
      <c r="A2284" t="s">
        <v>100</v>
      </c>
      <c r="B2284" t="s">
        <v>27</v>
      </c>
      <c r="C2284">
        <v>2019</v>
      </c>
      <c r="D2284" t="s">
        <v>60</v>
      </c>
      <c r="E2284">
        <v>6</v>
      </c>
      <c r="F2284">
        <v>16</v>
      </c>
      <c r="G2284">
        <v>-10</v>
      </c>
      <c r="H2284">
        <v>0</v>
      </c>
      <c r="I2284" t="s">
        <v>24</v>
      </c>
    </row>
    <row r="2285" spans="1:9">
      <c r="A2285" t="s">
        <v>128</v>
      </c>
      <c r="B2285" t="s">
        <v>16</v>
      </c>
      <c r="C2285">
        <v>2019</v>
      </c>
      <c r="D2285" t="s">
        <v>60</v>
      </c>
      <c r="E2285">
        <v>14</v>
      </c>
      <c r="F2285">
        <v>19</v>
      </c>
      <c r="G2285">
        <v>-5</v>
      </c>
      <c r="H2285">
        <v>0</v>
      </c>
      <c r="I2285" t="s">
        <v>19</v>
      </c>
    </row>
    <row r="2286" spans="1:9">
      <c r="A2286" t="s">
        <v>15</v>
      </c>
      <c r="B2286" t="s">
        <v>130</v>
      </c>
      <c r="C2286">
        <v>2019</v>
      </c>
      <c r="D2286" t="s">
        <v>60</v>
      </c>
      <c r="E2286">
        <v>10</v>
      </c>
      <c r="F2286">
        <v>10</v>
      </c>
      <c r="G2286">
        <v>0</v>
      </c>
      <c r="H2286">
        <v>1</v>
      </c>
      <c r="I2286" t="s">
        <v>12</v>
      </c>
    </row>
    <row r="2287" spans="1:9">
      <c r="A2287" t="s">
        <v>17</v>
      </c>
      <c r="B2287" t="s">
        <v>129</v>
      </c>
      <c r="C2287">
        <v>2019</v>
      </c>
      <c r="D2287" t="s">
        <v>60</v>
      </c>
      <c r="E2287">
        <v>15</v>
      </c>
      <c r="F2287">
        <v>17</v>
      </c>
      <c r="G2287">
        <v>-2</v>
      </c>
      <c r="H2287">
        <v>0</v>
      </c>
      <c r="I2287" t="s">
        <v>24</v>
      </c>
    </row>
    <row r="2288" spans="1:9">
      <c r="A2288" t="s">
        <v>46</v>
      </c>
      <c r="B2288" t="s">
        <v>130</v>
      </c>
      <c r="C2288">
        <v>2019</v>
      </c>
      <c r="D2288" t="s">
        <v>60</v>
      </c>
      <c r="E2288">
        <v>7</v>
      </c>
      <c r="F2288">
        <v>7</v>
      </c>
      <c r="G2288">
        <v>0</v>
      </c>
      <c r="H2288">
        <v>6</v>
      </c>
      <c r="I2288" t="s">
        <v>12</v>
      </c>
    </row>
    <row r="2289" spans="1:9">
      <c r="A2289" t="s">
        <v>20</v>
      </c>
      <c r="B2289" t="s">
        <v>10</v>
      </c>
      <c r="C2289">
        <v>2019</v>
      </c>
      <c r="D2289" t="s">
        <v>60</v>
      </c>
      <c r="E2289">
        <v>1</v>
      </c>
      <c r="F2289">
        <v>2</v>
      </c>
      <c r="G2289">
        <v>-1</v>
      </c>
      <c r="H2289">
        <v>18</v>
      </c>
      <c r="I2289" t="s">
        <v>12</v>
      </c>
    </row>
    <row r="2290" spans="1:9">
      <c r="A2290" t="s">
        <v>23</v>
      </c>
      <c r="B2290" t="s">
        <v>16</v>
      </c>
      <c r="C2290">
        <v>2019</v>
      </c>
      <c r="D2290" t="s">
        <v>60</v>
      </c>
      <c r="E2290">
        <v>16</v>
      </c>
      <c r="F2290">
        <v>20</v>
      </c>
      <c r="G2290">
        <v>-4</v>
      </c>
      <c r="H2290">
        <v>0</v>
      </c>
      <c r="I2290" t="s">
        <v>19</v>
      </c>
    </row>
    <row r="2291" spans="1:9">
      <c r="A2291" t="s">
        <v>131</v>
      </c>
      <c r="B2291" t="s">
        <v>143</v>
      </c>
      <c r="C2291">
        <v>2019</v>
      </c>
      <c r="D2291" t="s">
        <v>60</v>
      </c>
      <c r="E2291">
        <v>17</v>
      </c>
      <c r="F2291">
        <v>9</v>
      </c>
      <c r="G2291">
        <v>8</v>
      </c>
      <c r="H2291">
        <v>2</v>
      </c>
      <c r="I2291" t="s">
        <v>12</v>
      </c>
    </row>
    <row r="2292" spans="1:9">
      <c r="A2292" t="s">
        <v>25</v>
      </c>
      <c r="B2292" t="s">
        <v>18</v>
      </c>
      <c r="C2292">
        <v>2019</v>
      </c>
      <c r="D2292" t="s">
        <v>60</v>
      </c>
      <c r="E2292">
        <v>4</v>
      </c>
      <c r="F2292">
        <v>5</v>
      </c>
      <c r="G2292">
        <v>-1</v>
      </c>
      <c r="H2292">
        <v>10</v>
      </c>
      <c r="I2292" t="s">
        <v>12</v>
      </c>
    </row>
    <row r="2293" spans="1:9">
      <c r="A2293" t="s">
        <v>26</v>
      </c>
      <c r="B2293" t="s">
        <v>33</v>
      </c>
      <c r="C2293">
        <v>2019</v>
      </c>
      <c r="D2293" t="s">
        <v>60</v>
      </c>
      <c r="E2293">
        <v>13</v>
      </c>
      <c r="F2293">
        <v>6</v>
      </c>
      <c r="G2293">
        <v>7</v>
      </c>
      <c r="H2293">
        <v>8</v>
      </c>
      <c r="I2293" t="s">
        <v>12</v>
      </c>
    </row>
    <row r="2294" spans="1:9">
      <c r="A2294" t="s">
        <v>28</v>
      </c>
      <c r="B2294" t="s">
        <v>129</v>
      </c>
      <c r="C2294">
        <v>2019</v>
      </c>
      <c r="D2294" t="s">
        <v>60</v>
      </c>
      <c r="E2294">
        <v>18</v>
      </c>
      <c r="F2294">
        <v>13</v>
      </c>
      <c r="G2294">
        <v>5</v>
      </c>
      <c r="H2294">
        <v>0</v>
      </c>
      <c r="I2294" t="s">
        <v>12</v>
      </c>
    </row>
    <row r="2295" spans="1:9">
      <c r="A2295" t="s">
        <v>115</v>
      </c>
      <c r="B2295" t="s">
        <v>87</v>
      </c>
      <c r="C2295">
        <v>2019</v>
      </c>
      <c r="D2295" t="s">
        <v>60</v>
      </c>
      <c r="E2295">
        <v>11</v>
      </c>
      <c r="F2295">
        <v>18</v>
      </c>
      <c r="G2295">
        <v>-7</v>
      </c>
      <c r="H2295">
        <v>0</v>
      </c>
      <c r="I2295" t="s">
        <v>78</v>
      </c>
    </row>
    <row r="2296" spans="1:9">
      <c r="A2296" t="s">
        <v>29</v>
      </c>
      <c r="B2296" t="s">
        <v>18</v>
      </c>
      <c r="C2296">
        <v>2019</v>
      </c>
      <c r="D2296" t="s">
        <v>60</v>
      </c>
      <c r="E2296">
        <v>5</v>
      </c>
      <c r="F2296">
        <v>4</v>
      </c>
      <c r="G2296">
        <v>1</v>
      </c>
      <c r="H2296">
        <v>12</v>
      </c>
      <c r="I2296" t="s">
        <v>12</v>
      </c>
    </row>
    <row r="2297" spans="1:9">
      <c r="A2297" t="s">
        <v>31</v>
      </c>
      <c r="B2297" t="s">
        <v>27</v>
      </c>
      <c r="C2297">
        <v>2019</v>
      </c>
      <c r="D2297" t="s">
        <v>60</v>
      </c>
      <c r="E2297">
        <v>3</v>
      </c>
      <c r="F2297">
        <v>3</v>
      </c>
      <c r="G2297">
        <v>0</v>
      </c>
      <c r="H2297">
        <v>15</v>
      </c>
      <c r="I2297" t="s">
        <v>12</v>
      </c>
    </row>
    <row r="2298" spans="1:9">
      <c r="A2298" t="s">
        <v>32</v>
      </c>
      <c r="B2298" t="s">
        <v>33</v>
      </c>
      <c r="C2298">
        <v>2019</v>
      </c>
      <c r="D2298" t="s">
        <v>60</v>
      </c>
      <c r="E2298">
        <v>8</v>
      </c>
      <c r="F2298">
        <v>11</v>
      </c>
      <c r="G2298">
        <v>-3</v>
      </c>
      <c r="H2298">
        <v>0</v>
      </c>
      <c r="I2298" t="s">
        <v>12</v>
      </c>
    </row>
    <row r="2299" spans="1:9">
      <c r="A2299" t="s">
        <v>34</v>
      </c>
      <c r="B2299" t="s">
        <v>36</v>
      </c>
      <c r="C2299">
        <v>2019</v>
      </c>
      <c r="D2299" t="s">
        <v>60</v>
      </c>
      <c r="E2299">
        <v>19</v>
      </c>
      <c r="F2299">
        <v>14</v>
      </c>
      <c r="G2299">
        <v>5</v>
      </c>
      <c r="H2299">
        <v>0</v>
      </c>
      <c r="I2299" t="s">
        <v>24</v>
      </c>
    </row>
    <row r="2300" spans="1:9">
      <c r="A2300" t="s">
        <v>35</v>
      </c>
      <c r="B2300" t="s">
        <v>143</v>
      </c>
      <c r="C2300">
        <v>2019</v>
      </c>
      <c r="D2300" t="s">
        <v>60</v>
      </c>
      <c r="E2300">
        <v>9</v>
      </c>
      <c r="F2300">
        <v>12</v>
      </c>
      <c r="G2300">
        <v>-3</v>
      </c>
      <c r="H2300">
        <v>0</v>
      </c>
      <c r="I2300" t="s">
        <v>12</v>
      </c>
    </row>
    <row r="2301" spans="1:9">
      <c r="A2301" t="s">
        <v>9</v>
      </c>
      <c r="B2301" t="s">
        <v>10</v>
      </c>
      <c r="C2301">
        <v>2019</v>
      </c>
      <c r="D2301" t="s">
        <v>63</v>
      </c>
      <c r="E2301">
        <v>2</v>
      </c>
      <c r="F2301">
        <v>1</v>
      </c>
      <c r="G2301">
        <v>1</v>
      </c>
      <c r="H2301">
        <v>25</v>
      </c>
      <c r="I2301" t="s">
        <v>12</v>
      </c>
    </row>
    <row r="2302" spans="1:9">
      <c r="A2302" t="s">
        <v>114</v>
      </c>
      <c r="B2302" t="s">
        <v>87</v>
      </c>
      <c r="C2302">
        <v>2019</v>
      </c>
      <c r="D2302" t="s">
        <v>63</v>
      </c>
      <c r="E2302">
        <v>16</v>
      </c>
      <c r="F2302">
        <v>15</v>
      </c>
      <c r="G2302">
        <v>1</v>
      </c>
      <c r="H2302">
        <v>0</v>
      </c>
      <c r="I2302" t="s">
        <v>24</v>
      </c>
    </row>
    <row r="2303" spans="1:9">
      <c r="A2303" t="s">
        <v>117</v>
      </c>
      <c r="B2303" t="s">
        <v>36</v>
      </c>
      <c r="C2303">
        <v>2019</v>
      </c>
      <c r="D2303" t="s">
        <v>63</v>
      </c>
      <c r="E2303">
        <v>19</v>
      </c>
      <c r="F2303">
        <v>18</v>
      </c>
      <c r="G2303">
        <v>1</v>
      </c>
      <c r="H2303">
        <v>0</v>
      </c>
      <c r="I2303" t="s">
        <v>118</v>
      </c>
    </row>
    <row r="2304" spans="1:9">
      <c r="A2304" t="s">
        <v>100</v>
      </c>
      <c r="B2304" t="s">
        <v>27</v>
      </c>
      <c r="C2304">
        <v>2019</v>
      </c>
      <c r="D2304" t="s">
        <v>63</v>
      </c>
      <c r="E2304">
        <v>1</v>
      </c>
      <c r="F2304">
        <v>2</v>
      </c>
      <c r="G2304">
        <v>-1</v>
      </c>
      <c r="H2304">
        <v>18</v>
      </c>
      <c r="I2304" t="s">
        <v>12</v>
      </c>
    </row>
    <row r="2305" spans="1:9">
      <c r="A2305" t="s">
        <v>128</v>
      </c>
      <c r="B2305" t="s">
        <v>16</v>
      </c>
      <c r="C2305">
        <v>2019</v>
      </c>
      <c r="D2305" t="s">
        <v>63</v>
      </c>
      <c r="E2305">
        <v>14</v>
      </c>
      <c r="F2305">
        <v>14</v>
      </c>
      <c r="G2305">
        <v>0</v>
      </c>
      <c r="H2305">
        <v>0</v>
      </c>
      <c r="I2305" t="s">
        <v>24</v>
      </c>
    </row>
    <row r="2306" spans="1:9">
      <c r="A2306" t="s">
        <v>15</v>
      </c>
      <c r="B2306" t="s">
        <v>130</v>
      </c>
      <c r="C2306">
        <v>2019</v>
      </c>
      <c r="D2306" t="s">
        <v>63</v>
      </c>
      <c r="E2306">
        <v>7</v>
      </c>
      <c r="F2306">
        <v>7</v>
      </c>
      <c r="G2306">
        <v>0</v>
      </c>
      <c r="H2306">
        <v>6</v>
      </c>
      <c r="I2306" t="s">
        <v>24</v>
      </c>
    </row>
    <row r="2307" spans="1:9">
      <c r="A2307" t="s">
        <v>17</v>
      </c>
      <c r="B2307" t="s">
        <v>129</v>
      </c>
      <c r="C2307">
        <v>2019</v>
      </c>
      <c r="D2307" t="s">
        <v>63</v>
      </c>
      <c r="E2307">
        <v>15</v>
      </c>
      <c r="F2307">
        <v>12</v>
      </c>
      <c r="G2307">
        <v>3</v>
      </c>
      <c r="H2307">
        <v>0</v>
      </c>
      <c r="I2307" t="s">
        <v>24</v>
      </c>
    </row>
    <row r="2308" spans="1:9">
      <c r="A2308" t="s">
        <v>46</v>
      </c>
      <c r="B2308" t="s">
        <v>130</v>
      </c>
      <c r="C2308">
        <v>2019</v>
      </c>
      <c r="D2308" t="s">
        <v>63</v>
      </c>
      <c r="E2308">
        <v>4</v>
      </c>
      <c r="F2308">
        <v>6</v>
      </c>
      <c r="G2308">
        <v>-2</v>
      </c>
      <c r="H2308">
        <v>8</v>
      </c>
      <c r="I2308" t="s">
        <v>24</v>
      </c>
    </row>
    <row r="2309" spans="1:9">
      <c r="A2309" t="s">
        <v>20</v>
      </c>
      <c r="B2309" t="s">
        <v>10</v>
      </c>
      <c r="C2309">
        <v>2019</v>
      </c>
      <c r="D2309" t="s">
        <v>63</v>
      </c>
      <c r="E2309">
        <v>6</v>
      </c>
      <c r="F2309">
        <v>4</v>
      </c>
      <c r="G2309">
        <v>2</v>
      </c>
      <c r="H2309">
        <v>13</v>
      </c>
      <c r="I2309" t="s">
        <v>12</v>
      </c>
    </row>
    <row r="2310" spans="1:9">
      <c r="A2310" t="s">
        <v>23</v>
      </c>
      <c r="B2310" t="s">
        <v>16</v>
      </c>
      <c r="C2310">
        <v>2019</v>
      </c>
      <c r="D2310" t="s">
        <v>63</v>
      </c>
      <c r="E2310">
        <v>0</v>
      </c>
      <c r="F2310">
        <v>17</v>
      </c>
      <c r="G2310">
        <v>-17</v>
      </c>
      <c r="H2310">
        <v>0</v>
      </c>
      <c r="I2310" t="s">
        <v>53</v>
      </c>
    </row>
    <row r="2311" spans="1:9">
      <c r="A2311" t="s">
        <v>131</v>
      </c>
      <c r="B2311" t="s">
        <v>143</v>
      </c>
      <c r="C2311">
        <v>2019</v>
      </c>
      <c r="D2311" t="s">
        <v>63</v>
      </c>
      <c r="E2311">
        <v>10</v>
      </c>
      <c r="F2311">
        <v>10</v>
      </c>
      <c r="G2311">
        <v>0</v>
      </c>
      <c r="H2311">
        <v>1</v>
      </c>
      <c r="I2311" t="s">
        <v>24</v>
      </c>
    </row>
    <row r="2312" spans="1:9">
      <c r="A2312" t="s">
        <v>25</v>
      </c>
      <c r="B2312" t="s">
        <v>18</v>
      </c>
      <c r="C2312">
        <v>2019</v>
      </c>
      <c r="D2312" t="s">
        <v>63</v>
      </c>
      <c r="E2312">
        <v>9</v>
      </c>
      <c r="F2312">
        <v>5</v>
      </c>
      <c r="G2312">
        <v>4</v>
      </c>
      <c r="H2312">
        <v>10</v>
      </c>
      <c r="I2312" t="s">
        <v>12</v>
      </c>
    </row>
    <row r="2313" spans="1:9">
      <c r="A2313" t="s">
        <v>26</v>
      </c>
      <c r="B2313" t="s">
        <v>33</v>
      </c>
      <c r="C2313">
        <v>2019</v>
      </c>
      <c r="D2313" t="s">
        <v>63</v>
      </c>
      <c r="E2313">
        <v>11</v>
      </c>
      <c r="F2313">
        <v>11</v>
      </c>
      <c r="G2313">
        <v>0</v>
      </c>
      <c r="H2313">
        <v>0</v>
      </c>
      <c r="I2313" t="s">
        <v>24</v>
      </c>
    </row>
    <row r="2314" spans="1:9">
      <c r="A2314" t="s">
        <v>28</v>
      </c>
      <c r="B2314" t="s">
        <v>129</v>
      </c>
      <c r="C2314">
        <v>2019</v>
      </c>
      <c r="D2314" t="s">
        <v>63</v>
      </c>
      <c r="E2314">
        <v>17</v>
      </c>
      <c r="F2314">
        <v>9</v>
      </c>
      <c r="G2314">
        <v>8</v>
      </c>
      <c r="H2314">
        <v>2</v>
      </c>
      <c r="I2314" t="s">
        <v>24</v>
      </c>
    </row>
    <row r="2315" spans="1:9">
      <c r="A2315" t="s">
        <v>115</v>
      </c>
      <c r="B2315" t="s">
        <v>87</v>
      </c>
      <c r="C2315">
        <v>2019</v>
      </c>
      <c r="D2315" t="s">
        <v>63</v>
      </c>
      <c r="E2315">
        <v>12</v>
      </c>
      <c r="F2315">
        <v>13</v>
      </c>
      <c r="G2315">
        <v>-1</v>
      </c>
      <c r="H2315">
        <v>0</v>
      </c>
      <c r="I2315" t="s">
        <v>24</v>
      </c>
    </row>
    <row r="2316" spans="1:9">
      <c r="A2316" t="s">
        <v>29</v>
      </c>
      <c r="B2316" t="s">
        <v>18</v>
      </c>
      <c r="C2316">
        <v>2019</v>
      </c>
      <c r="D2316" t="s">
        <v>63</v>
      </c>
      <c r="E2316">
        <v>5</v>
      </c>
      <c r="F2316">
        <v>8</v>
      </c>
      <c r="G2316">
        <v>-3</v>
      </c>
      <c r="H2316">
        <v>4</v>
      </c>
      <c r="I2316" t="s">
        <v>24</v>
      </c>
    </row>
    <row r="2317" spans="1:9">
      <c r="A2317" t="s">
        <v>31</v>
      </c>
      <c r="B2317" t="s">
        <v>27</v>
      </c>
      <c r="C2317">
        <v>2019</v>
      </c>
      <c r="D2317" t="s">
        <v>63</v>
      </c>
      <c r="E2317">
        <v>3</v>
      </c>
      <c r="F2317">
        <v>3</v>
      </c>
      <c r="G2317">
        <v>0</v>
      </c>
      <c r="H2317">
        <v>15</v>
      </c>
      <c r="I2317" t="s">
        <v>12</v>
      </c>
    </row>
    <row r="2318" spans="1:9">
      <c r="A2318" t="s">
        <v>32</v>
      </c>
      <c r="B2318" t="s">
        <v>33</v>
      </c>
      <c r="C2318">
        <v>2019</v>
      </c>
      <c r="D2318" t="s">
        <v>63</v>
      </c>
      <c r="E2318">
        <v>8</v>
      </c>
      <c r="F2318">
        <v>20</v>
      </c>
      <c r="G2318">
        <v>-12</v>
      </c>
      <c r="H2318">
        <v>0</v>
      </c>
      <c r="I2318" t="s">
        <v>110</v>
      </c>
    </row>
    <row r="2319" spans="1:9">
      <c r="A2319" t="s">
        <v>34</v>
      </c>
      <c r="B2319" t="s">
        <v>36</v>
      </c>
      <c r="C2319">
        <v>2019</v>
      </c>
      <c r="D2319" t="s">
        <v>63</v>
      </c>
      <c r="E2319">
        <v>18</v>
      </c>
      <c r="F2319">
        <v>16</v>
      </c>
      <c r="G2319">
        <v>2</v>
      </c>
      <c r="H2319">
        <v>0</v>
      </c>
      <c r="I2319" t="s">
        <v>53</v>
      </c>
    </row>
    <row r="2320" spans="1:9">
      <c r="A2320" t="s">
        <v>35</v>
      </c>
      <c r="B2320" t="s">
        <v>143</v>
      </c>
      <c r="C2320">
        <v>2019</v>
      </c>
      <c r="D2320" t="s">
        <v>63</v>
      </c>
      <c r="E2320">
        <v>13</v>
      </c>
      <c r="F2320">
        <v>19</v>
      </c>
      <c r="G2320">
        <v>-6</v>
      </c>
      <c r="H2320">
        <v>0</v>
      </c>
      <c r="I2320" t="s">
        <v>22</v>
      </c>
    </row>
    <row r="2321" spans="1:9">
      <c r="A2321" t="s">
        <v>9</v>
      </c>
      <c r="B2321" t="s">
        <v>10</v>
      </c>
      <c r="C2321">
        <v>2019</v>
      </c>
      <c r="D2321" t="s">
        <v>64</v>
      </c>
      <c r="E2321">
        <v>2</v>
      </c>
      <c r="F2321">
        <v>1</v>
      </c>
      <c r="G2321">
        <v>1</v>
      </c>
      <c r="H2321">
        <v>25</v>
      </c>
      <c r="I2321" t="s">
        <v>12</v>
      </c>
    </row>
    <row r="2322" spans="1:9">
      <c r="A2322" t="s">
        <v>114</v>
      </c>
      <c r="B2322" t="s">
        <v>87</v>
      </c>
      <c r="C2322">
        <v>2019</v>
      </c>
      <c r="D2322" t="s">
        <v>64</v>
      </c>
      <c r="E2322">
        <v>13</v>
      </c>
      <c r="F2322">
        <v>9</v>
      </c>
      <c r="G2322">
        <v>4</v>
      </c>
      <c r="H2322">
        <v>2</v>
      </c>
      <c r="I2322" t="s">
        <v>24</v>
      </c>
    </row>
    <row r="2323" spans="1:9">
      <c r="A2323" t="s">
        <v>117</v>
      </c>
      <c r="B2323" t="s">
        <v>36</v>
      </c>
      <c r="C2323">
        <v>2019</v>
      </c>
      <c r="D2323" t="s">
        <v>64</v>
      </c>
      <c r="E2323">
        <v>18</v>
      </c>
      <c r="F2323">
        <v>17</v>
      </c>
      <c r="G2323">
        <v>1</v>
      </c>
      <c r="H2323">
        <v>0</v>
      </c>
      <c r="I2323" t="s">
        <v>53</v>
      </c>
    </row>
    <row r="2324" spans="1:9">
      <c r="A2324" t="s">
        <v>100</v>
      </c>
      <c r="B2324" t="s">
        <v>27</v>
      </c>
      <c r="C2324">
        <v>2019</v>
      </c>
      <c r="D2324" t="s">
        <v>64</v>
      </c>
      <c r="E2324">
        <v>3</v>
      </c>
      <c r="F2324">
        <v>3</v>
      </c>
      <c r="G2324">
        <v>0</v>
      </c>
      <c r="H2324">
        <v>15</v>
      </c>
      <c r="I2324" t="s">
        <v>12</v>
      </c>
    </row>
    <row r="2325" spans="1:9">
      <c r="A2325" t="s">
        <v>128</v>
      </c>
      <c r="B2325" t="s">
        <v>16</v>
      </c>
      <c r="C2325">
        <v>2019</v>
      </c>
      <c r="D2325" t="s">
        <v>64</v>
      </c>
      <c r="E2325">
        <v>10</v>
      </c>
      <c r="F2325">
        <v>11</v>
      </c>
      <c r="G2325">
        <v>-1</v>
      </c>
      <c r="H2325">
        <v>0</v>
      </c>
      <c r="I2325" t="s">
        <v>24</v>
      </c>
    </row>
    <row r="2326" spans="1:9">
      <c r="A2326" t="s">
        <v>15</v>
      </c>
      <c r="B2326" t="s">
        <v>130</v>
      </c>
      <c r="C2326">
        <v>2019</v>
      </c>
      <c r="D2326" t="s">
        <v>64</v>
      </c>
      <c r="E2326">
        <v>8</v>
      </c>
      <c r="F2326">
        <v>20</v>
      </c>
      <c r="G2326">
        <v>-12</v>
      </c>
      <c r="H2326">
        <v>0</v>
      </c>
      <c r="I2326" t="s">
        <v>81</v>
      </c>
    </row>
    <row r="2327" spans="1:9">
      <c r="A2327" t="s">
        <v>17</v>
      </c>
      <c r="B2327" t="s">
        <v>129</v>
      </c>
      <c r="C2327">
        <v>2019</v>
      </c>
      <c r="D2327" t="s">
        <v>64</v>
      </c>
      <c r="E2327">
        <v>12</v>
      </c>
      <c r="F2327">
        <v>8</v>
      </c>
      <c r="G2327">
        <v>4</v>
      </c>
      <c r="H2327">
        <v>4</v>
      </c>
      <c r="I2327" t="s">
        <v>24</v>
      </c>
    </row>
    <row r="2328" spans="1:9">
      <c r="A2328" t="s">
        <v>46</v>
      </c>
      <c r="B2328" t="s">
        <v>130</v>
      </c>
      <c r="C2328">
        <v>2019</v>
      </c>
      <c r="D2328" t="s">
        <v>64</v>
      </c>
      <c r="E2328">
        <v>7</v>
      </c>
      <c r="F2328">
        <v>7</v>
      </c>
      <c r="G2328">
        <v>0</v>
      </c>
      <c r="H2328">
        <v>6</v>
      </c>
      <c r="I2328" t="s">
        <v>24</v>
      </c>
    </row>
    <row r="2329" spans="1:9">
      <c r="A2329" t="s">
        <v>20</v>
      </c>
      <c r="B2329" t="s">
        <v>10</v>
      </c>
      <c r="C2329">
        <v>2019</v>
      </c>
      <c r="D2329" t="s">
        <v>64</v>
      </c>
      <c r="E2329">
        <v>1</v>
      </c>
      <c r="F2329">
        <v>2</v>
      </c>
      <c r="G2329">
        <v>-1</v>
      </c>
      <c r="H2329">
        <v>18</v>
      </c>
      <c r="I2329" t="s">
        <v>12</v>
      </c>
    </row>
    <row r="2330" spans="1:9">
      <c r="A2330" t="s">
        <v>23</v>
      </c>
      <c r="B2330" t="s">
        <v>16</v>
      </c>
      <c r="C2330">
        <v>2019</v>
      </c>
      <c r="D2330" t="s">
        <v>64</v>
      </c>
      <c r="E2330">
        <v>9</v>
      </c>
      <c r="F2330">
        <v>13</v>
      </c>
      <c r="G2330">
        <v>-4</v>
      </c>
      <c r="H2330">
        <v>0</v>
      </c>
      <c r="I2330" t="s">
        <v>24</v>
      </c>
    </row>
    <row r="2331" spans="1:9">
      <c r="A2331" t="s">
        <v>131</v>
      </c>
      <c r="B2331" t="s">
        <v>143</v>
      </c>
      <c r="C2331">
        <v>2019</v>
      </c>
      <c r="D2331" t="s">
        <v>64</v>
      </c>
      <c r="E2331">
        <v>11</v>
      </c>
      <c r="F2331">
        <v>19</v>
      </c>
      <c r="G2331">
        <v>-8</v>
      </c>
      <c r="H2331">
        <v>0</v>
      </c>
      <c r="I2331" t="s">
        <v>19</v>
      </c>
    </row>
    <row r="2332" spans="1:9">
      <c r="A2332" t="s">
        <v>25</v>
      </c>
      <c r="B2332" t="s">
        <v>18</v>
      </c>
      <c r="C2332">
        <v>2019</v>
      </c>
      <c r="D2332" t="s">
        <v>64</v>
      </c>
      <c r="E2332">
        <v>5</v>
      </c>
      <c r="F2332">
        <v>4</v>
      </c>
      <c r="G2332">
        <v>1</v>
      </c>
      <c r="H2332">
        <v>12</v>
      </c>
      <c r="I2332" t="s">
        <v>12</v>
      </c>
    </row>
    <row r="2333" spans="1:9">
      <c r="A2333" t="s">
        <v>26</v>
      </c>
      <c r="B2333" t="s">
        <v>33</v>
      </c>
      <c r="C2333">
        <v>2019</v>
      </c>
      <c r="D2333" t="s">
        <v>64</v>
      </c>
      <c r="E2333">
        <v>14</v>
      </c>
      <c r="F2333">
        <v>14</v>
      </c>
      <c r="G2333">
        <v>0</v>
      </c>
      <c r="H2333">
        <v>0</v>
      </c>
      <c r="I2333" t="s">
        <v>24</v>
      </c>
    </row>
    <row r="2334" spans="1:9">
      <c r="A2334" t="s">
        <v>28</v>
      </c>
      <c r="B2334" t="s">
        <v>129</v>
      </c>
      <c r="C2334">
        <v>2019</v>
      </c>
      <c r="D2334" t="s">
        <v>64</v>
      </c>
      <c r="E2334">
        <v>16</v>
      </c>
      <c r="F2334">
        <v>12</v>
      </c>
      <c r="G2334">
        <v>4</v>
      </c>
      <c r="H2334">
        <v>0</v>
      </c>
      <c r="I2334" t="s">
        <v>24</v>
      </c>
    </row>
    <row r="2335" spans="1:9">
      <c r="A2335" t="s">
        <v>115</v>
      </c>
      <c r="B2335" t="s">
        <v>87</v>
      </c>
      <c r="C2335">
        <v>2019</v>
      </c>
      <c r="D2335" t="s">
        <v>64</v>
      </c>
      <c r="E2335">
        <v>19</v>
      </c>
      <c r="F2335">
        <v>15</v>
      </c>
      <c r="G2335">
        <v>4</v>
      </c>
      <c r="H2335">
        <v>0</v>
      </c>
      <c r="I2335" t="s">
        <v>24</v>
      </c>
    </row>
    <row r="2336" spans="1:9">
      <c r="A2336" t="s">
        <v>29</v>
      </c>
      <c r="B2336" t="s">
        <v>18</v>
      </c>
      <c r="C2336">
        <v>2019</v>
      </c>
      <c r="D2336" t="s">
        <v>64</v>
      </c>
      <c r="E2336">
        <v>6</v>
      </c>
      <c r="F2336">
        <v>6</v>
      </c>
      <c r="G2336">
        <v>0</v>
      </c>
      <c r="H2336">
        <v>9</v>
      </c>
      <c r="I2336" t="s">
        <v>12</v>
      </c>
    </row>
    <row r="2337" spans="1:9">
      <c r="A2337" t="s">
        <v>31</v>
      </c>
      <c r="B2337" t="s">
        <v>27</v>
      </c>
      <c r="C2337">
        <v>2019</v>
      </c>
      <c r="D2337" t="s">
        <v>64</v>
      </c>
      <c r="E2337">
        <v>4</v>
      </c>
      <c r="F2337">
        <v>5</v>
      </c>
      <c r="G2337">
        <v>-1</v>
      </c>
      <c r="H2337">
        <v>10</v>
      </c>
      <c r="I2337" t="s">
        <v>12</v>
      </c>
    </row>
    <row r="2338" spans="1:9">
      <c r="A2338" t="s">
        <v>32</v>
      </c>
      <c r="B2338" t="s">
        <v>33</v>
      </c>
      <c r="C2338">
        <v>2019</v>
      </c>
      <c r="D2338" t="s">
        <v>64</v>
      </c>
      <c r="E2338">
        <v>15</v>
      </c>
      <c r="F2338">
        <v>18</v>
      </c>
      <c r="G2338">
        <v>-3</v>
      </c>
      <c r="H2338">
        <v>0</v>
      </c>
      <c r="I2338" t="s">
        <v>19</v>
      </c>
    </row>
    <row r="2339" spans="1:9">
      <c r="A2339" t="s">
        <v>34</v>
      </c>
      <c r="B2339" t="s">
        <v>36</v>
      </c>
      <c r="C2339">
        <v>2019</v>
      </c>
      <c r="D2339" t="s">
        <v>64</v>
      </c>
      <c r="E2339">
        <v>17</v>
      </c>
      <c r="F2339">
        <v>16</v>
      </c>
      <c r="G2339">
        <v>1</v>
      </c>
      <c r="H2339">
        <v>0</v>
      </c>
      <c r="I2339" t="s">
        <v>53</v>
      </c>
    </row>
    <row r="2340" spans="1:9">
      <c r="A2340" t="s">
        <v>35</v>
      </c>
      <c r="B2340" t="s">
        <v>143</v>
      </c>
      <c r="C2340">
        <v>2019</v>
      </c>
      <c r="D2340" t="s">
        <v>64</v>
      </c>
      <c r="E2340">
        <v>0</v>
      </c>
      <c r="F2340">
        <v>10</v>
      </c>
      <c r="G2340">
        <v>-10</v>
      </c>
      <c r="H2340">
        <v>1</v>
      </c>
      <c r="I2340" t="s">
        <v>24</v>
      </c>
    </row>
    <row r="2341" spans="1:9">
      <c r="A2341" t="s">
        <v>9</v>
      </c>
      <c r="B2341" t="s">
        <v>10</v>
      </c>
      <c r="C2341">
        <v>2019</v>
      </c>
      <c r="D2341" t="s">
        <v>107</v>
      </c>
      <c r="E2341">
        <v>1</v>
      </c>
      <c r="F2341">
        <v>1</v>
      </c>
      <c r="G2341">
        <v>0</v>
      </c>
      <c r="H2341">
        <v>25</v>
      </c>
      <c r="I2341" t="s">
        <v>12</v>
      </c>
    </row>
    <row r="2342" spans="1:9">
      <c r="A2342" t="s">
        <v>114</v>
      </c>
      <c r="B2342" t="s">
        <v>87</v>
      </c>
      <c r="C2342">
        <v>2019</v>
      </c>
      <c r="D2342" t="s">
        <v>107</v>
      </c>
      <c r="E2342">
        <v>12</v>
      </c>
      <c r="F2342">
        <v>7</v>
      </c>
      <c r="G2342">
        <v>5</v>
      </c>
      <c r="H2342">
        <v>6</v>
      </c>
      <c r="I2342" t="s">
        <v>24</v>
      </c>
    </row>
    <row r="2343" spans="1:9">
      <c r="A2343" t="s">
        <v>117</v>
      </c>
      <c r="B2343" t="s">
        <v>36</v>
      </c>
      <c r="C2343">
        <v>2019</v>
      </c>
      <c r="D2343" t="s">
        <v>107</v>
      </c>
      <c r="E2343">
        <v>18</v>
      </c>
      <c r="F2343">
        <v>18</v>
      </c>
      <c r="G2343">
        <v>0</v>
      </c>
      <c r="H2343">
        <v>0</v>
      </c>
      <c r="I2343" t="s">
        <v>53</v>
      </c>
    </row>
    <row r="2344" spans="1:9">
      <c r="A2344" t="s">
        <v>100</v>
      </c>
      <c r="B2344" t="s">
        <v>27</v>
      </c>
      <c r="C2344">
        <v>2019</v>
      </c>
      <c r="D2344" t="s">
        <v>107</v>
      </c>
      <c r="E2344">
        <v>7</v>
      </c>
      <c r="F2344">
        <v>5</v>
      </c>
      <c r="G2344">
        <v>2</v>
      </c>
      <c r="H2344">
        <v>11</v>
      </c>
      <c r="I2344" t="s">
        <v>12</v>
      </c>
    </row>
    <row r="2345" spans="1:9">
      <c r="A2345" t="s">
        <v>128</v>
      </c>
      <c r="B2345" t="s">
        <v>16</v>
      </c>
      <c r="C2345">
        <v>2019</v>
      </c>
      <c r="D2345" t="s">
        <v>107</v>
      </c>
      <c r="E2345">
        <v>16</v>
      </c>
      <c r="F2345">
        <v>20</v>
      </c>
      <c r="G2345">
        <v>-4</v>
      </c>
      <c r="H2345">
        <v>0</v>
      </c>
      <c r="I2345" t="s">
        <v>55</v>
      </c>
    </row>
    <row r="2346" spans="1:9">
      <c r="A2346" t="s">
        <v>15</v>
      </c>
      <c r="B2346" t="s">
        <v>130</v>
      </c>
      <c r="C2346">
        <v>2019</v>
      </c>
      <c r="D2346" t="s">
        <v>107</v>
      </c>
      <c r="E2346">
        <v>13</v>
      </c>
      <c r="F2346">
        <v>8</v>
      </c>
      <c r="G2346">
        <v>5</v>
      </c>
      <c r="H2346">
        <v>4</v>
      </c>
      <c r="I2346" t="s">
        <v>24</v>
      </c>
    </row>
    <row r="2347" spans="1:9">
      <c r="A2347" t="s">
        <v>17</v>
      </c>
      <c r="B2347" t="s">
        <v>129</v>
      </c>
      <c r="C2347">
        <v>2019</v>
      </c>
      <c r="D2347" t="s">
        <v>107</v>
      </c>
      <c r="E2347">
        <v>14</v>
      </c>
      <c r="F2347">
        <v>12</v>
      </c>
      <c r="G2347">
        <v>2</v>
      </c>
      <c r="H2347">
        <v>0</v>
      </c>
      <c r="I2347" t="s">
        <v>24</v>
      </c>
    </row>
    <row r="2348" spans="1:9">
      <c r="A2348" t="s">
        <v>46</v>
      </c>
      <c r="B2348" t="s">
        <v>130</v>
      </c>
      <c r="C2348">
        <v>2019</v>
      </c>
      <c r="D2348" t="s">
        <v>107</v>
      </c>
      <c r="E2348">
        <v>8</v>
      </c>
      <c r="F2348">
        <v>11</v>
      </c>
      <c r="G2348">
        <v>-3</v>
      </c>
      <c r="H2348">
        <v>0</v>
      </c>
      <c r="I2348" t="s">
        <v>24</v>
      </c>
    </row>
    <row r="2349" spans="1:9">
      <c r="A2349" t="s">
        <v>20</v>
      </c>
      <c r="B2349" t="s">
        <v>10</v>
      </c>
      <c r="C2349">
        <v>2019</v>
      </c>
      <c r="D2349" t="s">
        <v>107</v>
      </c>
      <c r="E2349">
        <v>2</v>
      </c>
      <c r="F2349">
        <v>2</v>
      </c>
      <c r="G2349">
        <v>0</v>
      </c>
      <c r="H2349">
        <v>18</v>
      </c>
      <c r="I2349" t="s">
        <v>12</v>
      </c>
    </row>
    <row r="2350" spans="1:9">
      <c r="A2350" t="s">
        <v>23</v>
      </c>
      <c r="B2350" t="s">
        <v>16</v>
      </c>
      <c r="C2350">
        <v>2019</v>
      </c>
      <c r="D2350" t="s">
        <v>107</v>
      </c>
      <c r="E2350">
        <v>15</v>
      </c>
      <c r="F2350">
        <v>17</v>
      </c>
      <c r="G2350">
        <v>-2</v>
      </c>
      <c r="H2350">
        <v>0</v>
      </c>
      <c r="I2350" t="s">
        <v>24</v>
      </c>
    </row>
    <row r="2351" spans="1:9">
      <c r="A2351" t="s">
        <v>131</v>
      </c>
      <c r="B2351" t="s">
        <v>143</v>
      </c>
      <c r="C2351">
        <v>2019</v>
      </c>
      <c r="D2351" t="s">
        <v>107</v>
      </c>
      <c r="E2351">
        <v>19</v>
      </c>
      <c r="F2351">
        <v>14</v>
      </c>
      <c r="G2351">
        <v>5</v>
      </c>
      <c r="H2351">
        <v>0</v>
      </c>
      <c r="I2351" t="s">
        <v>24</v>
      </c>
    </row>
    <row r="2352" spans="1:9">
      <c r="A2352" t="s">
        <v>25</v>
      </c>
      <c r="B2352" t="s">
        <v>18</v>
      </c>
      <c r="C2352">
        <v>2019</v>
      </c>
      <c r="D2352" t="s">
        <v>107</v>
      </c>
      <c r="E2352">
        <v>4</v>
      </c>
      <c r="F2352">
        <v>4</v>
      </c>
      <c r="G2352">
        <v>0</v>
      </c>
      <c r="H2352">
        <v>12</v>
      </c>
      <c r="I2352" t="s">
        <v>12</v>
      </c>
    </row>
    <row r="2353" spans="1:9">
      <c r="A2353" t="s">
        <v>26</v>
      </c>
      <c r="B2353" t="s">
        <v>33</v>
      </c>
      <c r="C2353">
        <v>2019</v>
      </c>
      <c r="D2353" t="s">
        <v>107</v>
      </c>
      <c r="E2353">
        <v>6</v>
      </c>
      <c r="F2353">
        <v>6</v>
      </c>
      <c r="G2353">
        <v>0</v>
      </c>
      <c r="H2353">
        <v>8</v>
      </c>
      <c r="I2353" t="s">
        <v>12</v>
      </c>
    </row>
    <row r="2354" spans="1:9">
      <c r="A2354" t="s">
        <v>28</v>
      </c>
      <c r="B2354" t="s">
        <v>129</v>
      </c>
      <c r="C2354">
        <v>2019</v>
      </c>
      <c r="D2354" t="s">
        <v>107</v>
      </c>
      <c r="E2354">
        <v>17</v>
      </c>
      <c r="F2354">
        <v>13</v>
      </c>
      <c r="G2354">
        <v>4</v>
      </c>
      <c r="H2354">
        <v>0</v>
      </c>
      <c r="I2354" t="s">
        <v>24</v>
      </c>
    </row>
    <row r="2355" spans="1:9">
      <c r="A2355" t="s">
        <v>115</v>
      </c>
      <c r="B2355" t="s">
        <v>87</v>
      </c>
      <c r="C2355">
        <v>2019</v>
      </c>
      <c r="D2355" t="s">
        <v>107</v>
      </c>
      <c r="E2355">
        <v>10</v>
      </c>
      <c r="F2355">
        <v>16</v>
      </c>
      <c r="G2355">
        <v>-6</v>
      </c>
      <c r="H2355">
        <v>0</v>
      </c>
      <c r="I2355" t="s">
        <v>24</v>
      </c>
    </row>
    <row r="2356" spans="1:9">
      <c r="A2356" t="s">
        <v>29</v>
      </c>
      <c r="B2356" t="s">
        <v>18</v>
      </c>
      <c r="C2356">
        <v>2019</v>
      </c>
      <c r="D2356" t="s">
        <v>107</v>
      </c>
      <c r="E2356">
        <v>9</v>
      </c>
      <c r="F2356">
        <v>10</v>
      </c>
      <c r="G2356">
        <v>-1</v>
      </c>
      <c r="H2356">
        <v>1</v>
      </c>
      <c r="I2356" t="s">
        <v>24</v>
      </c>
    </row>
    <row r="2357" spans="1:9">
      <c r="A2357" t="s">
        <v>31</v>
      </c>
      <c r="B2357" t="s">
        <v>27</v>
      </c>
      <c r="C2357">
        <v>2019</v>
      </c>
      <c r="D2357" t="s">
        <v>107</v>
      </c>
      <c r="E2357">
        <v>3</v>
      </c>
      <c r="F2357">
        <v>3</v>
      </c>
      <c r="G2357">
        <v>0</v>
      </c>
      <c r="H2357">
        <v>15</v>
      </c>
      <c r="I2357" t="s">
        <v>12</v>
      </c>
    </row>
    <row r="2358" spans="1:9">
      <c r="A2358" t="s">
        <v>32</v>
      </c>
      <c r="B2358" t="s">
        <v>33</v>
      </c>
      <c r="C2358">
        <v>2019</v>
      </c>
      <c r="D2358" t="s">
        <v>107</v>
      </c>
      <c r="E2358">
        <v>5</v>
      </c>
      <c r="F2358">
        <v>9</v>
      </c>
      <c r="G2358">
        <v>-4</v>
      </c>
      <c r="H2358">
        <v>2</v>
      </c>
      <c r="I2358" t="s">
        <v>24</v>
      </c>
    </row>
    <row r="2359" spans="1:9">
      <c r="A2359" t="s">
        <v>34</v>
      </c>
      <c r="B2359" t="s">
        <v>36</v>
      </c>
      <c r="C2359">
        <v>2019</v>
      </c>
      <c r="D2359" t="s">
        <v>107</v>
      </c>
      <c r="E2359">
        <v>20</v>
      </c>
      <c r="F2359">
        <v>19</v>
      </c>
      <c r="G2359">
        <v>1</v>
      </c>
      <c r="H2359">
        <v>0</v>
      </c>
      <c r="I2359" t="s">
        <v>53</v>
      </c>
    </row>
    <row r="2360" spans="1:9">
      <c r="A2360" t="s">
        <v>35</v>
      </c>
      <c r="B2360" t="s">
        <v>143</v>
      </c>
      <c r="C2360">
        <v>2019</v>
      </c>
      <c r="D2360" t="s">
        <v>107</v>
      </c>
      <c r="E2360">
        <v>11</v>
      </c>
      <c r="F2360">
        <v>15</v>
      </c>
      <c r="G2360">
        <v>-4</v>
      </c>
      <c r="H2360">
        <v>0</v>
      </c>
      <c r="I2360" t="s">
        <v>24</v>
      </c>
    </row>
    <row r="2361" spans="1:9">
      <c r="A2361" t="s">
        <v>9</v>
      </c>
      <c r="B2361" t="s">
        <v>10</v>
      </c>
      <c r="C2361">
        <v>2019</v>
      </c>
      <c r="D2361" t="s">
        <v>146</v>
      </c>
      <c r="E2361">
        <v>1</v>
      </c>
      <c r="F2361">
        <v>9</v>
      </c>
      <c r="G2361">
        <v>-8</v>
      </c>
      <c r="H2361">
        <v>2</v>
      </c>
      <c r="I2361" t="s">
        <v>12</v>
      </c>
    </row>
    <row r="2362" spans="1:9">
      <c r="A2362" t="s">
        <v>114</v>
      </c>
      <c r="B2362" t="s">
        <v>87</v>
      </c>
      <c r="C2362">
        <v>2019</v>
      </c>
      <c r="D2362" t="s">
        <v>146</v>
      </c>
      <c r="E2362">
        <v>5</v>
      </c>
      <c r="F2362">
        <v>12</v>
      </c>
      <c r="G2362">
        <v>-7</v>
      </c>
      <c r="H2362">
        <v>0</v>
      </c>
      <c r="I2362" t="s">
        <v>12</v>
      </c>
    </row>
    <row r="2363" spans="1:9">
      <c r="A2363" t="s">
        <v>117</v>
      </c>
      <c r="B2363" t="s">
        <v>36</v>
      </c>
      <c r="C2363">
        <v>2019</v>
      </c>
      <c r="D2363" t="s">
        <v>146</v>
      </c>
      <c r="E2363">
        <v>18</v>
      </c>
      <c r="F2363">
        <v>10</v>
      </c>
      <c r="G2363">
        <v>8</v>
      </c>
      <c r="H2363">
        <v>1</v>
      </c>
      <c r="I2363" t="s">
        <v>12</v>
      </c>
    </row>
    <row r="2364" spans="1:9">
      <c r="A2364" t="s">
        <v>100</v>
      </c>
      <c r="B2364" t="s">
        <v>27</v>
      </c>
      <c r="C2364">
        <v>2019</v>
      </c>
      <c r="D2364" t="s">
        <v>146</v>
      </c>
      <c r="E2364">
        <v>20</v>
      </c>
      <c r="F2364">
        <v>2</v>
      </c>
      <c r="G2364">
        <v>18</v>
      </c>
      <c r="H2364">
        <v>18</v>
      </c>
      <c r="I2364" t="s">
        <v>12</v>
      </c>
    </row>
    <row r="2365" spans="1:9">
      <c r="A2365" t="s">
        <v>128</v>
      </c>
      <c r="B2365" t="s">
        <v>16</v>
      </c>
      <c r="C2365">
        <v>2019</v>
      </c>
      <c r="D2365" t="s">
        <v>146</v>
      </c>
      <c r="E2365">
        <v>6</v>
      </c>
      <c r="F2365">
        <v>7</v>
      </c>
      <c r="G2365">
        <v>-1</v>
      </c>
      <c r="H2365">
        <v>6</v>
      </c>
      <c r="I2365" t="s">
        <v>12</v>
      </c>
    </row>
    <row r="2366" spans="1:9">
      <c r="A2366" t="s">
        <v>15</v>
      </c>
      <c r="B2366" t="s">
        <v>130</v>
      </c>
      <c r="C2366">
        <v>2019</v>
      </c>
      <c r="D2366" t="s">
        <v>146</v>
      </c>
      <c r="E2366">
        <v>9</v>
      </c>
      <c r="F2366">
        <v>16</v>
      </c>
      <c r="G2366">
        <v>-7</v>
      </c>
      <c r="H2366">
        <v>0</v>
      </c>
      <c r="I2366" t="s">
        <v>49</v>
      </c>
    </row>
    <row r="2367" spans="1:9">
      <c r="A2367" t="s">
        <v>17</v>
      </c>
      <c r="B2367" t="s">
        <v>129</v>
      </c>
      <c r="C2367">
        <v>2019</v>
      </c>
      <c r="D2367" t="s">
        <v>146</v>
      </c>
      <c r="E2367">
        <v>8</v>
      </c>
      <c r="F2367">
        <v>20</v>
      </c>
      <c r="G2367">
        <v>-12</v>
      </c>
      <c r="H2367">
        <v>0</v>
      </c>
      <c r="I2367" t="s">
        <v>78</v>
      </c>
    </row>
    <row r="2368" spans="1:9">
      <c r="A2368" t="s">
        <v>46</v>
      </c>
      <c r="B2368" t="s">
        <v>130</v>
      </c>
      <c r="C2368">
        <v>2019</v>
      </c>
      <c r="D2368" t="s">
        <v>146</v>
      </c>
      <c r="E2368">
        <v>13</v>
      </c>
      <c r="F2368">
        <v>19</v>
      </c>
      <c r="G2368">
        <v>-6</v>
      </c>
      <c r="H2368">
        <v>0</v>
      </c>
      <c r="I2368" t="s">
        <v>136</v>
      </c>
    </row>
    <row r="2369" spans="1:9">
      <c r="A2369" t="s">
        <v>20</v>
      </c>
      <c r="B2369" t="s">
        <v>10</v>
      </c>
      <c r="C2369">
        <v>2019</v>
      </c>
      <c r="D2369" t="s">
        <v>146</v>
      </c>
      <c r="E2369">
        <v>3</v>
      </c>
      <c r="F2369">
        <v>15</v>
      </c>
      <c r="G2369">
        <v>-12</v>
      </c>
      <c r="H2369">
        <v>0</v>
      </c>
      <c r="I2369" t="s">
        <v>49</v>
      </c>
    </row>
    <row r="2370" spans="1:9">
      <c r="A2370" t="s">
        <v>23</v>
      </c>
      <c r="B2370" t="s">
        <v>16</v>
      </c>
      <c r="C2370">
        <v>2019</v>
      </c>
      <c r="D2370" t="s">
        <v>146</v>
      </c>
      <c r="E2370">
        <v>12</v>
      </c>
      <c r="F2370">
        <v>8</v>
      </c>
      <c r="G2370">
        <v>4</v>
      </c>
      <c r="H2370">
        <v>4</v>
      </c>
      <c r="I2370" t="s">
        <v>12</v>
      </c>
    </row>
    <row r="2371" spans="1:9">
      <c r="A2371" t="s">
        <v>131</v>
      </c>
      <c r="B2371" t="s">
        <v>143</v>
      </c>
      <c r="C2371">
        <v>2019</v>
      </c>
      <c r="D2371" t="s">
        <v>146</v>
      </c>
      <c r="E2371">
        <v>14</v>
      </c>
      <c r="F2371">
        <v>3</v>
      </c>
      <c r="G2371">
        <v>11</v>
      </c>
      <c r="H2371">
        <v>15</v>
      </c>
      <c r="I2371" t="s">
        <v>12</v>
      </c>
    </row>
    <row r="2372" spans="1:9">
      <c r="A2372" t="s">
        <v>25</v>
      </c>
      <c r="B2372" t="s">
        <v>18</v>
      </c>
      <c r="C2372">
        <v>2019</v>
      </c>
      <c r="D2372" t="s">
        <v>146</v>
      </c>
      <c r="E2372">
        <v>2</v>
      </c>
      <c r="F2372">
        <v>1</v>
      </c>
      <c r="G2372">
        <v>1</v>
      </c>
      <c r="H2372">
        <v>26</v>
      </c>
      <c r="I2372" t="s">
        <v>12</v>
      </c>
    </row>
    <row r="2373" spans="1:9">
      <c r="A2373" t="s">
        <v>26</v>
      </c>
      <c r="B2373" t="s">
        <v>33</v>
      </c>
      <c r="C2373">
        <v>2019</v>
      </c>
      <c r="D2373" t="s">
        <v>146</v>
      </c>
      <c r="E2373">
        <v>7</v>
      </c>
      <c r="F2373">
        <v>5</v>
      </c>
      <c r="G2373">
        <v>2</v>
      </c>
      <c r="H2373">
        <v>10</v>
      </c>
      <c r="I2373" t="s">
        <v>12</v>
      </c>
    </row>
    <row r="2374" spans="1:9">
      <c r="A2374" t="s">
        <v>28</v>
      </c>
      <c r="B2374" t="s">
        <v>129</v>
      </c>
      <c r="C2374">
        <v>2019</v>
      </c>
      <c r="D2374" t="s">
        <v>146</v>
      </c>
      <c r="E2374">
        <v>15</v>
      </c>
      <c r="F2374">
        <v>4</v>
      </c>
      <c r="G2374">
        <v>11</v>
      </c>
      <c r="H2374">
        <v>12</v>
      </c>
      <c r="I2374" t="s">
        <v>12</v>
      </c>
    </row>
    <row r="2375" spans="1:9">
      <c r="A2375" t="s">
        <v>115</v>
      </c>
      <c r="B2375" t="s">
        <v>87</v>
      </c>
      <c r="C2375">
        <v>2019</v>
      </c>
      <c r="D2375" t="s">
        <v>146</v>
      </c>
      <c r="E2375">
        <v>11</v>
      </c>
      <c r="F2375">
        <v>13</v>
      </c>
      <c r="G2375">
        <v>-2</v>
      </c>
      <c r="H2375">
        <v>0</v>
      </c>
      <c r="I2375" t="s">
        <v>12</v>
      </c>
    </row>
    <row r="2376" spans="1:9">
      <c r="A2376" t="s">
        <v>29</v>
      </c>
      <c r="B2376" t="s">
        <v>18</v>
      </c>
      <c r="C2376">
        <v>2019</v>
      </c>
      <c r="D2376" t="s">
        <v>146</v>
      </c>
      <c r="E2376">
        <v>4</v>
      </c>
      <c r="F2376">
        <v>14</v>
      </c>
      <c r="G2376">
        <v>-10</v>
      </c>
      <c r="H2376">
        <v>0</v>
      </c>
      <c r="I2376" t="s">
        <v>19</v>
      </c>
    </row>
    <row r="2377" spans="1:9">
      <c r="A2377" t="s">
        <v>31</v>
      </c>
      <c r="B2377" t="s">
        <v>27</v>
      </c>
      <c r="C2377">
        <v>2019</v>
      </c>
      <c r="D2377" t="s">
        <v>146</v>
      </c>
      <c r="E2377">
        <v>10</v>
      </c>
      <c r="F2377">
        <v>17</v>
      </c>
      <c r="G2377">
        <v>-7</v>
      </c>
      <c r="H2377">
        <v>0</v>
      </c>
      <c r="I2377" t="s">
        <v>49</v>
      </c>
    </row>
    <row r="2378" spans="1:9">
      <c r="A2378" t="s">
        <v>32</v>
      </c>
      <c r="B2378" t="s">
        <v>33</v>
      </c>
      <c r="C2378">
        <v>2019</v>
      </c>
      <c r="D2378" t="s">
        <v>146</v>
      </c>
      <c r="E2378">
        <v>19</v>
      </c>
      <c r="F2378">
        <v>18</v>
      </c>
      <c r="G2378">
        <v>1</v>
      </c>
      <c r="H2378">
        <v>0</v>
      </c>
      <c r="I2378" t="s">
        <v>89</v>
      </c>
    </row>
    <row r="2379" spans="1:9">
      <c r="A2379" t="s">
        <v>34</v>
      </c>
      <c r="B2379" t="s">
        <v>36</v>
      </c>
      <c r="C2379">
        <v>2019</v>
      </c>
      <c r="D2379" t="s">
        <v>146</v>
      </c>
      <c r="E2379">
        <v>17</v>
      </c>
      <c r="F2379">
        <v>11</v>
      </c>
      <c r="G2379">
        <v>6</v>
      </c>
      <c r="H2379">
        <v>0</v>
      </c>
      <c r="I2379" t="s">
        <v>12</v>
      </c>
    </row>
    <row r="2380" spans="1:9">
      <c r="A2380" t="s">
        <v>35</v>
      </c>
      <c r="B2380" t="s">
        <v>143</v>
      </c>
      <c r="C2380">
        <v>2019</v>
      </c>
      <c r="D2380" t="s">
        <v>146</v>
      </c>
      <c r="E2380">
        <v>16</v>
      </c>
      <c r="F2380">
        <v>6</v>
      </c>
      <c r="G2380">
        <v>10</v>
      </c>
      <c r="H2380">
        <v>8</v>
      </c>
      <c r="I2380" t="s">
        <v>12</v>
      </c>
    </row>
    <row r="2381" spans="1:9">
      <c r="A2381" t="s">
        <v>9</v>
      </c>
      <c r="B2381" t="s">
        <v>10</v>
      </c>
      <c r="C2381">
        <v>2019</v>
      </c>
      <c r="D2381" t="s">
        <v>67</v>
      </c>
      <c r="E2381">
        <v>3</v>
      </c>
      <c r="F2381">
        <v>1</v>
      </c>
      <c r="G2381">
        <v>2</v>
      </c>
      <c r="H2381">
        <v>25</v>
      </c>
      <c r="I2381" t="s">
        <v>12</v>
      </c>
    </row>
    <row r="2382" spans="1:9">
      <c r="A2382" t="s">
        <v>114</v>
      </c>
      <c r="B2382" t="s">
        <v>87</v>
      </c>
      <c r="C2382">
        <v>2019</v>
      </c>
      <c r="D2382" t="s">
        <v>67</v>
      </c>
      <c r="E2382">
        <v>10</v>
      </c>
      <c r="F2382">
        <v>7</v>
      </c>
      <c r="G2382">
        <v>3</v>
      </c>
      <c r="H2382">
        <v>6</v>
      </c>
      <c r="I2382" t="s">
        <v>24</v>
      </c>
    </row>
    <row r="2383" spans="1:9">
      <c r="A2383" t="s">
        <v>117</v>
      </c>
      <c r="B2383" t="s">
        <v>36</v>
      </c>
      <c r="C2383">
        <v>2019</v>
      </c>
      <c r="D2383" t="s">
        <v>67</v>
      </c>
      <c r="E2383">
        <v>19</v>
      </c>
      <c r="F2383">
        <v>19</v>
      </c>
      <c r="G2383">
        <v>0</v>
      </c>
      <c r="H2383">
        <v>0</v>
      </c>
      <c r="I2383" t="s">
        <v>118</v>
      </c>
    </row>
    <row r="2384" spans="1:9">
      <c r="A2384" t="s">
        <v>100</v>
      </c>
      <c r="B2384" t="s">
        <v>27</v>
      </c>
      <c r="C2384">
        <v>2019</v>
      </c>
      <c r="D2384" t="s">
        <v>67</v>
      </c>
      <c r="E2384">
        <v>5</v>
      </c>
      <c r="F2384">
        <v>3</v>
      </c>
      <c r="G2384">
        <v>2</v>
      </c>
      <c r="H2384">
        <v>15</v>
      </c>
      <c r="I2384" t="s">
        <v>12</v>
      </c>
    </row>
    <row r="2385" spans="1:9">
      <c r="A2385" t="s">
        <v>128</v>
      </c>
      <c r="B2385" t="s">
        <v>16</v>
      </c>
      <c r="C2385">
        <v>2019</v>
      </c>
      <c r="D2385" t="s">
        <v>67</v>
      </c>
      <c r="E2385">
        <v>9</v>
      </c>
      <c r="F2385">
        <v>20</v>
      </c>
      <c r="G2385">
        <v>-11</v>
      </c>
      <c r="H2385">
        <v>0</v>
      </c>
      <c r="I2385" t="s">
        <v>62</v>
      </c>
    </row>
    <row r="2386" spans="1:9">
      <c r="A2386" t="s">
        <v>15</v>
      </c>
      <c r="B2386" t="s">
        <v>130</v>
      </c>
      <c r="C2386">
        <v>2019</v>
      </c>
      <c r="D2386" t="s">
        <v>67</v>
      </c>
      <c r="E2386">
        <v>11</v>
      </c>
      <c r="F2386">
        <v>12</v>
      </c>
      <c r="G2386">
        <v>-1</v>
      </c>
      <c r="H2386">
        <v>0</v>
      </c>
      <c r="I2386" t="s">
        <v>24</v>
      </c>
    </row>
    <row r="2387" spans="1:9">
      <c r="A2387" t="s">
        <v>17</v>
      </c>
      <c r="B2387" t="s">
        <v>129</v>
      </c>
      <c r="C2387">
        <v>2019</v>
      </c>
      <c r="D2387" t="s">
        <v>67</v>
      </c>
      <c r="E2387">
        <v>16</v>
      </c>
      <c r="F2387">
        <v>11</v>
      </c>
      <c r="G2387">
        <v>5</v>
      </c>
      <c r="H2387">
        <v>0</v>
      </c>
      <c r="I2387" t="s">
        <v>24</v>
      </c>
    </row>
    <row r="2388" spans="1:9">
      <c r="A2388" t="s">
        <v>46</v>
      </c>
      <c r="B2388" t="s">
        <v>130</v>
      </c>
      <c r="C2388">
        <v>2019</v>
      </c>
      <c r="D2388" t="s">
        <v>67</v>
      </c>
      <c r="E2388">
        <v>20</v>
      </c>
      <c r="F2388">
        <v>14</v>
      </c>
      <c r="G2388">
        <v>6</v>
      </c>
      <c r="H2388">
        <v>0</v>
      </c>
      <c r="I2388" t="s">
        <v>24</v>
      </c>
    </row>
    <row r="2389" spans="1:9">
      <c r="A2389" t="s">
        <v>20</v>
      </c>
      <c r="B2389" t="s">
        <v>10</v>
      </c>
      <c r="C2389">
        <v>2019</v>
      </c>
      <c r="D2389" t="s">
        <v>67</v>
      </c>
      <c r="E2389">
        <v>2</v>
      </c>
      <c r="F2389">
        <v>8</v>
      </c>
      <c r="G2389">
        <v>-6</v>
      </c>
      <c r="H2389">
        <v>4</v>
      </c>
      <c r="I2389" t="s">
        <v>24</v>
      </c>
    </row>
    <row r="2390" spans="1:9">
      <c r="A2390" t="s">
        <v>23</v>
      </c>
      <c r="B2390" t="s">
        <v>16</v>
      </c>
      <c r="C2390">
        <v>2019</v>
      </c>
      <c r="D2390" t="s">
        <v>67</v>
      </c>
      <c r="E2390">
        <v>14</v>
      </c>
      <c r="F2390">
        <v>13</v>
      </c>
      <c r="G2390">
        <v>1</v>
      </c>
      <c r="H2390">
        <v>0</v>
      </c>
      <c r="I2390" t="s">
        <v>24</v>
      </c>
    </row>
    <row r="2391" spans="1:9">
      <c r="A2391" t="s">
        <v>131</v>
      </c>
      <c r="B2391" t="s">
        <v>143</v>
      </c>
      <c r="C2391">
        <v>2019</v>
      </c>
      <c r="D2391" t="s">
        <v>67</v>
      </c>
      <c r="E2391">
        <v>13</v>
      </c>
      <c r="F2391">
        <v>15</v>
      </c>
      <c r="G2391">
        <v>-2</v>
      </c>
      <c r="H2391">
        <v>0</v>
      </c>
      <c r="I2391" t="s">
        <v>53</v>
      </c>
    </row>
    <row r="2392" spans="1:9">
      <c r="A2392" t="s">
        <v>25</v>
      </c>
      <c r="B2392" t="s">
        <v>18</v>
      </c>
      <c r="C2392">
        <v>2019</v>
      </c>
      <c r="D2392" t="s">
        <v>67</v>
      </c>
      <c r="E2392">
        <v>1</v>
      </c>
      <c r="F2392">
        <v>2</v>
      </c>
      <c r="G2392">
        <v>-1</v>
      </c>
      <c r="H2392">
        <v>19</v>
      </c>
      <c r="I2392" t="s">
        <v>12</v>
      </c>
    </row>
    <row r="2393" spans="1:9">
      <c r="A2393" t="s">
        <v>26</v>
      </c>
      <c r="B2393" t="s">
        <v>33</v>
      </c>
      <c r="C2393">
        <v>2019</v>
      </c>
      <c r="D2393" t="s">
        <v>67</v>
      </c>
      <c r="E2393">
        <v>8</v>
      </c>
      <c r="F2393">
        <v>5</v>
      </c>
      <c r="G2393">
        <v>3</v>
      </c>
      <c r="H2393">
        <v>10</v>
      </c>
      <c r="I2393" t="s">
        <v>24</v>
      </c>
    </row>
    <row r="2394" spans="1:9">
      <c r="A2394" t="s">
        <v>28</v>
      </c>
      <c r="B2394" t="s">
        <v>129</v>
      </c>
      <c r="C2394">
        <v>2019</v>
      </c>
      <c r="D2394" t="s">
        <v>67</v>
      </c>
      <c r="E2394">
        <v>18</v>
      </c>
      <c r="F2394">
        <v>17</v>
      </c>
      <c r="G2394">
        <v>1</v>
      </c>
      <c r="H2394">
        <v>0</v>
      </c>
      <c r="I2394" t="s">
        <v>53</v>
      </c>
    </row>
    <row r="2395" spans="1:9">
      <c r="A2395" t="s">
        <v>115</v>
      </c>
      <c r="B2395" t="s">
        <v>87</v>
      </c>
      <c r="C2395">
        <v>2019</v>
      </c>
      <c r="D2395" t="s">
        <v>67</v>
      </c>
      <c r="E2395">
        <v>17</v>
      </c>
      <c r="F2395">
        <v>18</v>
      </c>
      <c r="G2395">
        <v>-1</v>
      </c>
      <c r="H2395">
        <v>0</v>
      </c>
      <c r="I2395" t="s">
        <v>53</v>
      </c>
    </row>
    <row r="2396" spans="1:9">
      <c r="A2396" t="s">
        <v>29</v>
      </c>
      <c r="B2396" t="s">
        <v>18</v>
      </c>
      <c r="C2396">
        <v>2019</v>
      </c>
      <c r="D2396" t="s">
        <v>67</v>
      </c>
      <c r="E2396">
        <v>6</v>
      </c>
      <c r="F2396">
        <v>6</v>
      </c>
      <c r="G2396">
        <v>0</v>
      </c>
      <c r="H2396">
        <v>8</v>
      </c>
      <c r="I2396" t="s">
        <v>24</v>
      </c>
    </row>
    <row r="2397" spans="1:9">
      <c r="A2397" t="s">
        <v>31</v>
      </c>
      <c r="B2397" t="s">
        <v>27</v>
      </c>
      <c r="C2397">
        <v>2019</v>
      </c>
      <c r="D2397" t="s">
        <v>67</v>
      </c>
      <c r="E2397">
        <v>4</v>
      </c>
      <c r="F2397">
        <v>4</v>
      </c>
      <c r="G2397">
        <v>0</v>
      </c>
      <c r="H2397">
        <v>12</v>
      </c>
      <c r="I2397" t="s">
        <v>12</v>
      </c>
    </row>
    <row r="2398" spans="1:9">
      <c r="A2398" t="s">
        <v>32</v>
      </c>
      <c r="B2398" t="s">
        <v>33</v>
      </c>
      <c r="C2398">
        <v>2019</v>
      </c>
      <c r="D2398" t="s">
        <v>67</v>
      </c>
      <c r="E2398">
        <v>7</v>
      </c>
      <c r="F2398">
        <v>9</v>
      </c>
      <c r="G2398">
        <v>-2</v>
      </c>
      <c r="H2398">
        <v>2</v>
      </c>
      <c r="I2398" t="s">
        <v>24</v>
      </c>
    </row>
    <row r="2399" spans="1:9">
      <c r="A2399" t="s">
        <v>34</v>
      </c>
      <c r="B2399" t="s">
        <v>36</v>
      </c>
      <c r="C2399">
        <v>2019</v>
      </c>
      <c r="D2399" t="s">
        <v>67</v>
      </c>
      <c r="E2399">
        <v>15</v>
      </c>
      <c r="F2399">
        <v>16</v>
      </c>
      <c r="G2399">
        <v>-1</v>
      </c>
      <c r="H2399">
        <v>0</v>
      </c>
      <c r="I2399" t="s">
        <v>53</v>
      </c>
    </row>
    <row r="2400" spans="1:9">
      <c r="A2400" t="s">
        <v>35</v>
      </c>
      <c r="B2400" t="s">
        <v>143</v>
      </c>
      <c r="C2400">
        <v>2019</v>
      </c>
      <c r="D2400" t="s">
        <v>67</v>
      </c>
      <c r="E2400">
        <v>12</v>
      </c>
      <c r="F2400">
        <v>10</v>
      </c>
      <c r="G2400">
        <v>2</v>
      </c>
      <c r="H2400">
        <v>1</v>
      </c>
      <c r="I2400" t="s">
        <v>24</v>
      </c>
    </row>
    <row r="2401" spans="1:9">
      <c r="A2401" t="s">
        <v>9</v>
      </c>
      <c r="B2401" t="s">
        <v>10</v>
      </c>
      <c r="C2401">
        <v>2019</v>
      </c>
      <c r="D2401" t="s">
        <v>69</v>
      </c>
      <c r="E2401">
        <v>2</v>
      </c>
      <c r="F2401">
        <v>3</v>
      </c>
      <c r="G2401">
        <v>-1</v>
      </c>
      <c r="H2401">
        <v>16</v>
      </c>
      <c r="I2401" t="s">
        <v>12</v>
      </c>
    </row>
    <row r="2402" spans="1:9">
      <c r="A2402" t="s">
        <v>114</v>
      </c>
      <c r="B2402" t="s">
        <v>87</v>
      </c>
      <c r="C2402">
        <v>2019</v>
      </c>
      <c r="D2402" t="s">
        <v>69</v>
      </c>
      <c r="E2402">
        <v>0</v>
      </c>
      <c r="F2402">
        <v>15</v>
      </c>
      <c r="G2402">
        <v>-15</v>
      </c>
      <c r="H2402">
        <v>0</v>
      </c>
      <c r="I2402" t="s">
        <v>24</v>
      </c>
    </row>
    <row r="2403" spans="1:9">
      <c r="A2403" t="s">
        <v>117</v>
      </c>
      <c r="B2403" t="s">
        <v>36</v>
      </c>
      <c r="C2403">
        <v>2019</v>
      </c>
      <c r="D2403" t="s">
        <v>69</v>
      </c>
      <c r="E2403">
        <v>15</v>
      </c>
      <c r="F2403">
        <v>17</v>
      </c>
      <c r="G2403">
        <v>-2</v>
      </c>
      <c r="H2403">
        <v>0</v>
      </c>
      <c r="I2403" t="s">
        <v>53</v>
      </c>
    </row>
    <row r="2404" spans="1:9">
      <c r="A2404" t="s">
        <v>100</v>
      </c>
      <c r="B2404" t="s">
        <v>27</v>
      </c>
      <c r="C2404">
        <v>2019</v>
      </c>
      <c r="D2404" t="s">
        <v>69</v>
      </c>
      <c r="E2404">
        <v>4</v>
      </c>
      <c r="F2404">
        <v>13</v>
      </c>
      <c r="G2404">
        <v>-9</v>
      </c>
      <c r="H2404">
        <v>0</v>
      </c>
      <c r="I2404" t="s">
        <v>24</v>
      </c>
    </row>
    <row r="2405" spans="1:9">
      <c r="A2405" t="s">
        <v>128</v>
      </c>
      <c r="B2405" t="s">
        <v>16</v>
      </c>
      <c r="C2405">
        <v>2019</v>
      </c>
      <c r="D2405" t="s">
        <v>69</v>
      </c>
      <c r="E2405">
        <v>13</v>
      </c>
      <c r="F2405">
        <v>16</v>
      </c>
      <c r="G2405">
        <v>-3</v>
      </c>
      <c r="H2405">
        <v>0</v>
      </c>
      <c r="I2405" t="s">
        <v>24</v>
      </c>
    </row>
    <row r="2406" spans="1:9">
      <c r="A2406" t="s">
        <v>15</v>
      </c>
      <c r="B2406" t="s">
        <v>130</v>
      </c>
      <c r="C2406">
        <v>2019</v>
      </c>
      <c r="D2406" t="s">
        <v>69</v>
      </c>
      <c r="E2406">
        <v>6</v>
      </c>
      <c r="F2406">
        <v>5</v>
      </c>
      <c r="G2406">
        <v>1</v>
      </c>
      <c r="H2406">
        <v>10</v>
      </c>
      <c r="I2406" t="s">
        <v>12</v>
      </c>
    </row>
    <row r="2407" spans="1:9">
      <c r="A2407" t="s">
        <v>17</v>
      </c>
      <c r="B2407" t="s">
        <v>129</v>
      </c>
      <c r="C2407">
        <v>2019</v>
      </c>
      <c r="D2407" t="s">
        <v>69</v>
      </c>
      <c r="E2407">
        <v>18</v>
      </c>
      <c r="F2407">
        <v>7</v>
      </c>
      <c r="G2407">
        <v>11</v>
      </c>
      <c r="H2407">
        <v>6</v>
      </c>
      <c r="I2407" t="s">
        <v>12</v>
      </c>
    </row>
    <row r="2408" spans="1:9">
      <c r="A2408" t="s">
        <v>46</v>
      </c>
      <c r="B2408" t="s">
        <v>130</v>
      </c>
      <c r="C2408">
        <v>2019</v>
      </c>
      <c r="D2408" t="s">
        <v>69</v>
      </c>
      <c r="E2408">
        <v>5</v>
      </c>
      <c r="F2408">
        <v>4</v>
      </c>
      <c r="G2408">
        <v>1</v>
      </c>
      <c r="H2408">
        <v>12</v>
      </c>
      <c r="I2408" t="s">
        <v>12</v>
      </c>
    </row>
    <row r="2409" spans="1:9">
      <c r="A2409" t="s">
        <v>20</v>
      </c>
      <c r="B2409" t="s">
        <v>10</v>
      </c>
      <c r="C2409">
        <v>2019</v>
      </c>
      <c r="D2409" t="s">
        <v>69</v>
      </c>
      <c r="E2409">
        <v>3</v>
      </c>
      <c r="F2409">
        <v>2</v>
      </c>
      <c r="G2409">
        <v>1</v>
      </c>
      <c r="H2409">
        <v>18</v>
      </c>
      <c r="I2409" t="s">
        <v>12</v>
      </c>
    </row>
    <row r="2410" spans="1:9">
      <c r="A2410" t="s">
        <v>23</v>
      </c>
      <c r="B2410" t="s">
        <v>16</v>
      </c>
      <c r="C2410">
        <v>2019</v>
      </c>
      <c r="D2410" t="s">
        <v>69</v>
      </c>
      <c r="E2410">
        <v>11</v>
      </c>
      <c r="F2410">
        <v>18</v>
      </c>
      <c r="G2410">
        <v>-7</v>
      </c>
      <c r="H2410">
        <v>0</v>
      </c>
      <c r="I2410" t="s">
        <v>68</v>
      </c>
    </row>
    <row r="2411" spans="1:9">
      <c r="A2411" t="s">
        <v>131</v>
      </c>
      <c r="B2411" t="s">
        <v>143</v>
      </c>
      <c r="C2411">
        <v>2019</v>
      </c>
      <c r="D2411" t="s">
        <v>69</v>
      </c>
      <c r="E2411">
        <v>12</v>
      </c>
      <c r="F2411">
        <v>19</v>
      </c>
      <c r="G2411">
        <v>-7</v>
      </c>
      <c r="H2411">
        <v>0</v>
      </c>
      <c r="I2411" t="s">
        <v>42</v>
      </c>
    </row>
    <row r="2412" spans="1:9">
      <c r="A2412" t="s">
        <v>25</v>
      </c>
      <c r="B2412" t="s">
        <v>18</v>
      </c>
      <c r="C2412">
        <v>2019</v>
      </c>
      <c r="D2412" t="s">
        <v>69</v>
      </c>
      <c r="E2412">
        <v>19</v>
      </c>
      <c r="F2412">
        <v>8</v>
      </c>
      <c r="G2412">
        <v>11</v>
      </c>
      <c r="H2412">
        <v>4</v>
      </c>
      <c r="I2412" t="s">
        <v>12</v>
      </c>
    </row>
    <row r="2413" spans="1:9">
      <c r="A2413" t="s">
        <v>26</v>
      </c>
      <c r="B2413" t="s">
        <v>33</v>
      </c>
      <c r="C2413">
        <v>2019</v>
      </c>
      <c r="D2413" t="s">
        <v>69</v>
      </c>
      <c r="E2413">
        <v>7</v>
      </c>
      <c r="F2413">
        <v>20</v>
      </c>
      <c r="G2413">
        <v>-13</v>
      </c>
      <c r="H2413">
        <v>0</v>
      </c>
      <c r="I2413" t="s">
        <v>134</v>
      </c>
    </row>
    <row r="2414" spans="1:9">
      <c r="A2414" t="s">
        <v>28</v>
      </c>
      <c r="B2414" t="s">
        <v>129</v>
      </c>
      <c r="C2414">
        <v>2019</v>
      </c>
      <c r="D2414" t="s">
        <v>69</v>
      </c>
      <c r="E2414">
        <v>9</v>
      </c>
      <c r="F2414">
        <v>12</v>
      </c>
      <c r="G2414">
        <v>-3</v>
      </c>
      <c r="H2414">
        <v>0</v>
      </c>
      <c r="I2414" t="s">
        <v>24</v>
      </c>
    </row>
    <row r="2415" spans="1:9">
      <c r="A2415" t="s">
        <v>115</v>
      </c>
      <c r="B2415" t="s">
        <v>87</v>
      </c>
      <c r="C2415">
        <v>2019</v>
      </c>
      <c r="D2415" t="s">
        <v>69</v>
      </c>
      <c r="E2415">
        <v>10</v>
      </c>
      <c r="F2415">
        <v>9</v>
      </c>
      <c r="G2415">
        <v>1</v>
      </c>
      <c r="H2415">
        <v>2</v>
      </c>
      <c r="I2415" t="s">
        <v>24</v>
      </c>
    </row>
    <row r="2416" spans="1:9">
      <c r="A2416" t="s">
        <v>29</v>
      </c>
      <c r="B2416" t="s">
        <v>143</v>
      </c>
      <c r="C2416">
        <v>2019</v>
      </c>
      <c r="D2416" t="s">
        <v>69</v>
      </c>
      <c r="E2416">
        <v>17</v>
      </c>
      <c r="F2416">
        <v>11</v>
      </c>
      <c r="G2416">
        <v>6</v>
      </c>
      <c r="H2416">
        <v>0</v>
      </c>
      <c r="I2416" t="s">
        <v>24</v>
      </c>
    </row>
    <row r="2417" spans="1:9">
      <c r="A2417" t="s">
        <v>31</v>
      </c>
      <c r="B2417" t="s">
        <v>27</v>
      </c>
      <c r="C2417">
        <v>2019</v>
      </c>
      <c r="D2417" t="s">
        <v>69</v>
      </c>
      <c r="E2417">
        <v>1</v>
      </c>
      <c r="F2417">
        <v>1</v>
      </c>
      <c r="G2417">
        <v>0</v>
      </c>
      <c r="H2417">
        <v>25</v>
      </c>
      <c r="I2417" t="s">
        <v>12</v>
      </c>
    </row>
    <row r="2418" spans="1:9">
      <c r="A2418" t="s">
        <v>32</v>
      </c>
      <c r="B2418" t="s">
        <v>33</v>
      </c>
      <c r="C2418">
        <v>2019</v>
      </c>
      <c r="D2418" t="s">
        <v>69</v>
      </c>
      <c r="E2418">
        <v>16</v>
      </c>
      <c r="F2418">
        <v>10</v>
      </c>
      <c r="G2418">
        <v>6</v>
      </c>
      <c r="H2418">
        <v>1</v>
      </c>
      <c r="I2418" t="s">
        <v>24</v>
      </c>
    </row>
    <row r="2419" spans="1:9">
      <c r="A2419" t="s">
        <v>34</v>
      </c>
      <c r="B2419" t="s">
        <v>36</v>
      </c>
      <c r="C2419">
        <v>2019</v>
      </c>
      <c r="D2419" t="s">
        <v>69</v>
      </c>
      <c r="E2419">
        <v>14</v>
      </c>
      <c r="F2419">
        <v>14</v>
      </c>
      <c r="G2419">
        <v>0</v>
      </c>
      <c r="H2419">
        <v>0</v>
      </c>
      <c r="I2419" t="s">
        <v>24</v>
      </c>
    </row>
    <row r="2420" spans="1:9">
      <c r="A2420" t="s">
        <v>35</v>
      </c>
      <c r="B2420" t="s">
        <v>18</v>
      </c>
      <c r="C2420">
        <v>2019</v>
      </c>
      <c r="D2420" t="s">
        <v>69</v>
      </c>
      <c r="E2420">
        <v>8</v>
      </c>
      <c r="F2420">
        <v>6</v>
      </c>
      <c r="G2420">
        <v>2</v>
      </c>
      <c r="H2420">
        <v>8</v>
      </c>
      <c r="I2420" t="s">
        <v>12</v>
      </c>
    </row>
    <row r="2421" spans="1:9">
      <c r="A2421" t="s">
        <v>9</v>
      </c>
      <c r="B2421" t="s">
        <v>10</v>
      </c>
      <c r="C2421">
        <v>2019</v>
      </c>
      <c r="D2421" t="s">
        <v>71</v>
      </c>
      <c r="E2421">
        <v>4</v>
      </c>
      <c r="F2421">
        <v>3</v>
      </c>
      <c r="G2421">
        <v>1</v>
      </c>
      <c r="H2421">
        <v>16</v>
      </c>
      <c r="I2421" t="s">
        <v>12</v>
      </c>
    </row>
    <row r="2422" spans="1:9">
      <c r="A2422" t="s">
        <v>114</v>
      </c>
      <c r="B2422" t="s">
        <v>87</v>
      </c>
      <c r="C2422">
        <v>2019</v>
      </c>
      <c r="D2422" t="s">
        <v>71</v>
      </c>
      <c r="E2422">
        <v>13</v>
      </c>
      <c r="F2422">
        <v>12</v>
      </c>
      <c r="G2422">
        <v>1</v>
      </c>
      <c r="H2422">
        <v>0</v>
      </c>
      <c r="I2422" t="s">
        <v>24</v>
      </c>
    </row>
    <row r="2423" spans="1:9">
      <c r="A2423" t="s">
        <v>117</v>
      </c>
      <c r="B2423" t="s">
        <v>36</v>
      </c>
      <c r="C2423">
        <v>2019</v>
      </c>
      <c r="D2423" t="s">
        <v>71</v>
      </c>
      <c r="E2423">
        <v>0</v>
      </c>
      <c r="F2423">
        <v>17</v>
      </c>
      <c r="G2423">
        <v>-17</v>
      </c>
      <c r="H2423">
        <v>0</v>
      </c>
      <c r="I2423" t="s">
        <v>53</v>
      </c>
    </row>
    <row r="2424" spans="1:9">
      <c r="A2424" t="s">
        <v>100</v>
      </c>
      <c r="B2424" t="s">
        <v>27</v>
      </c>
      <c r="C2424">
        <v>2019</v>
      </c>
      <c r="D2424" t="s">
        <v>71</v>
      </c>
      <c r="E2424">
        <v>1</v>
      </c>
      <c r="F2424">
        <v>2</v>
      </c>
      <c r="G2424">
        <v>-1</v>
      </c>
      <c r="H2424">
        <v>18</v>
      </c>
      <c r="I2424" t="s">
        <v>12</v>
      </c>
    </row>
    <row r="2425" spans="1:9">
      <c r="A2425" t="s">
        <v>128</v>
      </c>
      <c r="B2425" t="s">
        <v>16</v>
      </c>
      <c r="C2425">
        <v>2019</v>
      </c>
      <c r="D2425" t="s">
        <v>71</v>
      </c>
      <c r="E2425">
        <v>10</v>
      </c>
      <c r="F2425">
        <v>13</v>
      </c>
      <c r="G2425">
        <v>-3</v>
      </c>
      <c r="H2425">
        <v>0</v>
      </c>
      <c r="I2425" t="s">
        <v>24</v>
      </c>
    </row>
    <row r="2426" spans="1:9">
      <c r="A2426" t="s">
        <v>15</v>
      </c>
      <c r="B2426" t="s">
        <v>130</v>
      </c>
      <c r="C2426">
        <v>2019</v>
      </c>
      <c r="D2426" t="s">
        <v>71</v>
      </c>
      <c r="E2426">
        <v>15</v>
      </c>
      <c r="F2426">
        <v>20</v>
      </c>
      <c r="G2426">
        <v>-5</v>
      </c>
      <c r="H2426">
        <v>0</v>
      </c>
      <c r="I2426" t="s">
        <v>59</v>
      </c>
    </row>
    <row r="2427" spans="1:9">
      <c r="A2427" t="s">
        <v>17</v>
      </c>
      <c r="B2427" t="s">
        <v>129</v>
      </c>
      <c r="C2427">
        <v>2019</v>
      </c>
      <c r="D2427" t="s">
        <v>71</v>
      </c>
      <c r="E2427">
        <v>17</v>
      </c>
      <c r="F2427">
        <v>8</v>
      </c>
      <c r="G2427">
        <v>9</v>
      </c>
      <c r="H2427">
        <v>4</v>
      </c>
      <c r="I2427" t="s">
        <v>24</v>
      </c>
    </row>
    <row r="2428" spans="1:9">
      <c r="A2428" t="s">
        <v>46</v>
      </c>
      <c r="B2428" t="s">
        <v>130</v>
      </c>
      <c r="C2428">
        <v>2019</v>
      </c>
      <c r="D2428" t="s">
        <v>71</v>
      </c>
      <c r="E2428">
        <v>16</v>
      </c>
      <c r="F2428">
        <v>19</v>
      </c>
      <c r="G2428">
        <v>-3</v>
      </c>
      <c r="H2428">
        <v>0</v>
      </c>
      <c r="I2428" t="s">
        <v>59</v>
      </c>
    </row>
    <row r="2429" spans="1:9">
      <c r="A2429" t="s">
        <v>20</v>
      </c>
      <c r="B2429" t="s">
        <v>10</v>
      </c>
      <c r="C2429">
        <v>2019</v>
      </c>
      <c r="D2429" t="s">
        <v>71</v>
      </c>
      <c r="E2429">
        <v>3</v>
      </c>
      <c r="F2429">
        <v>1</v>
      </c>
      <c r="G2429">
        <v>2</v>
      </c>
      <c r="H2429">
        <v>25</v>
      </c>
      <c r="I2429" t="s">
        <v>12</v>
      </c>
    </row>
    <row r="2430" spans="1:9">
      <c r="A2430" t="s">
        <v>23</v>
      </c>
      <c r="B2430" t="s">
        <v>16</v>
      </c>
      <c r="C2430">
        <v>2019</v>
      </c>
      <c r="D2430" t="s">
        <v>71</v>
      </c>
      <c r="E2430">
        <v>19</v>
      </c>
      <c r="F2430">
        <v>15</v>
      </c>
      <c r="G2430">
        <v>4</v>
      </c>
      <c r="H2430">
        <v>0</v>
      </c>
      <c r="I2430" t="s">
        <v>24</v>
      </c>
    </row>
    <row r="2431" spans="1:9">
      <c r="A2431" t="s">
        <v>131</v>
      </c>
      <c r="B2431" t="s">
        <v>143</v>
      </c>
      <c r="C2431">
        <v>2019</v>
      </c>
      <c r="D2431" t="s">
        <v>71</v>
      </c>
      <c r="E2431">
        <v>14</v>
      </c>
      <c r="F2431">
        <v>10</v>
      </c>
      <c r="G2431">
        <v>4</v>
      </c>
      <c r="H2431">
        <v>1</v>
      </c>
      <c r="I2431" t="s">
        <v>24</v>
      </c>
    </row>
    <row r="2432" spans="1:9">
      <c r="A2432" t="s">
        <v>25</v>
      </c>
      <c r="B2432" t="s">
        <v>18</v>
      </c>
      <c r="C2432">
        <v>2019</v>
      </c>
      <c r="D2432" t="s">
        <v>71</v>
      </c>
      <c r="E2432">
        <v>5</v>
      </c>
      <c r="F2432">
        <v>18</v>
      </c>
      <c r="G2432">
        <v>-13</v>
      </c>
      <c r="H2432">
        <v>0</v>
      </c>
      <c r="I2432" t="s">
        <v>47</v>
      </c>
    </row>
    <row r="2433" spans="1:9">
      <c r="A2433" t="s">
        <v>26</v>
      </c>
      <c r="B2433" t="s">
        <v>33</v>
      </c>
      <c r="C2433">
        <v>2019</v>
      </c>
      <c r="D2433" t="s">
        <v>71</v>
      </c>
      <c r="E2433">
        <v>7</v>
      </c>
      <c r="F2433">
        <v>5</v>
      </c>
      <c r="G2433">
        <v>2</v>
      </c>
      <c r="H2433">
        <v>10</v>
      </c>
      <c r="I2433" t="s">
        <v>12</v>
      </c>
    </row>
    <row r="2434" spans="1:9">
      <c r="A2434" t="s">
        <v>28</v>
      </c>
      <c r="B2434" t="s">
        <v>129</v>
      </c>
      <c r="C2434">
        <v>2019</v>
      </c>
      <c r="D2434" t="s">
        <v>71</v>
      </c>
      <c r="E2434">
        <v>12</v>
      </c>
      <c r="F2434">
        <v>9</v>
      </c>
      <c r="G2434">
        <v>3</v>
      </c>
      <c r="H2434">
        <v>2</v>
      </c>
      <c r="I2434" t="s">
        <v>24</v>
      </c>
    </row>
    <row r="2435" spans="1:9">
      <c r="A2435" t="s">
        <v>115</v>
      </c>
      <c r="B2435" t="s">
        <v>87</v>
      </c>
      <c r="C2435">
        <v>2019</v>
      </c>
      <c r="D2435" t="s">
        <v>71</v>
      </c>
      <c r="E2435">
        <v>11</v>
      </c>
      <c r="F2435">
        <v>14</v>
      </c>
      <c r="G2435">
        <v>-3</v>
      </c>
      <c r="H2435">
        <v>0</v>
      </c>
      <c r="I2435" t="s">
        <v>24</v>
      </c>
    </row>
    <row r="2436" spans="1:9">
      <c r="A2436" t="s">
        <v>29</v>
      </c>
      <c r="B2436" t="s">
        <v>143</v>
      </c>
      <c r="C2436">
        <v>2019</v>
      </c>
      <c r="D2436" t="s">
        <v>71</v>
      </c>
      <c r="E2436">
        <v>9</v>
      </c>
      <c r="F2436">
        <v>7</v>
      </c>
      <c r="G2436">
        <v>2</v>
      </c>
      <c r="H2436">
        <v>6</v>
      </c>
      <c r="I2436" t="s">
        <v>24</v>
      </c>
    </row>
    <row r="2437" spans="1:9">
      <c r="A2437" t="s">
        <v>31</v>
      </c>
      <c r="B2437" t="s">
        <v>27</v>
      </c>
      <c r="C2437">
        <v>2019</v>
      </c>
      <c r="D2437" t="s">
        <v>71</v>
      </c>
      <c r="E2437">
        <v>2</v>
      </c>
      <c r="F2437">
        <v>6</v>
      </c>
      <c r="G2437">
        <v>-4</v>
      </c>
      <c r="H2437">
        <v>8</v>
      </c>
      <c r="I2437" t="s">
        <v>24</v>
      </c>
    </row>
    <row r="2438" spans="1:9">
      <c r="A2438" t="s">
        <v>32</v>
      </c>
      <c r="B2438" t="s">
        <v>33</v>
      </c>
      <c r="C2438">
        <v>2019</v>
      </c>
      <c r="D2438" t="s">
        <v>71</v>
      </c>
      <c r="E2438">
        <v>8</v>
      </c>
      <c r="F2438">
        <v>11</v>
      </c>
      <c r="G2438">
        <v>-3</v>
      </c>
      <c r="H2438">
        <v>0</v>
      </c>
      <c r="I2438" t="s">
        <v>24</v>
      </c>
    </row>
    <row r="2439" spans="1:9">
      <c r="A2439" t="s">
        <v>34</v>
      </c>
      <c r="B2439" t="s">
        <v>36</v>
      </c>
      <c r="C2439">
        <v>2019</v>
      </c>
      <c r="D2439" t="s">
        <v>71</v>
      </c>
      <c r="E2439">
        <v>18</v>
      </c>
      <c r="F2439">
        <v>16</v>
      </c>
      <c r="G2439">
        <v>2</v>
      </c>
      <c r="H2439">
        <v>0</v>
      </c>
      <c r="I2439" t="s">
        <v>53</v>
      </c>
    </row>
    <row r="2440" spans="1:9">
      <c r="A2440" t="s">
        <v>35</v>
      </c>
      <c r="B2440" t="s">
        <v>18</v>
      </c>
      <c r="C2440">
        <v>2019</v>
      </c>
      <c r="D2440" t="s">
        <v>71</v>
      </c>
      <c r="E2440">
        <v>6</v>
      </c>
      <c r="F2440">
        <v>4</v>
      </c>
      <c r="G2440">
        <v>2</v>
      </c>
      <c r="H2440">
        <v>12</v>
      </c>
      <c r="I2440" t="s">
        <v>12</v>
      </c>
    </row>
    <row r="2441" spans="1:9">
      <c r="A2441" t="s">
        <v>9</v>
      </c>
      <c r="B2441" t="s">
        <v>10</v>
      </c>
      <c r="C2441">
        <v>2019</v>
      </c>
      <c r="D2441" t="s">
        <v>147</v>
      </c>
      <c r="E2441">
        <v>3</v>
      </c>
      <c r="F2441">
        <v>1</v>
      </c>
      <c r="G2441">
        <v>2</v>
      </c>
      <c r="H2441">
        <v>25</v>
      </c>
      <c r="I2441" t="s">
        <v>12</v>
      </c>
    </row>
    <row r="2442" spans="1:9">
      <c r="A2442" t="s">
        <v>114</v>
      </c>
      <c r="B2442" t="s">
        <v>87</v>
      </c>
      <c r="C2442">
        <v>2019</v>
      </c>
      <c r="D2442" t="s">
        <v>147</v>
      </c>
      <c r="E2442">
        <v>14</v>
      </c>
      <c r="F2442">
        <v>19</v>
      </c>
      <c r="G2442">
        <v>-5</v>
      </c>
      <c r="H2442">
        <v>0</v>
      </c>
      <c r="I2442" t="s">
        <v>70</v>
      </c>
    </row>
    <row r="2443" spans="1:9">
      <c r="A2443" t="s">
        <v>117</v>
      </c>
      <c r="B2443" t="s">
        <v>36</v>
      </c>
      <c r="C2443">
        <v>2019</v>
      </c>
      <c r="D2443" t="s">
        <v>147</v>
      </c>
      <c r="E2443">
        <v>20</v>
      </c>
      <c r="F2443">
        <v>18</v>
      </c>
      <c r="G2443">
        <v>2</v>
      </c>
      <c r="H2443">
        <v>0</v>
      </c>
      <c r="I2443" t="s">
        <v>53</v>
      </c>
    </row>
    <row r="2444" spans="1:9">
      <c r="A2444" t="s">
        <v>100</v>
      </c>
      <c r="B2444" t="s">
        <v>27</v>
      </c>
      <c r="C2444">
        <v>2019</v>
      </c>
      <c r="D2444" t="s">
        <v>147</v>
      </c>
      <c r="E2444">
        <v>2</v>
      </c>
      <c r="F2444">
        <v>2</v>
      </c>
      <c r="G2444">
        <v>0</v>
      </c>
      <c r="H2444">
        <v>18</v>
      </c>
      <c r="I2444" t="s">
        <v>12</v>
      </c>
    </row>
    <row r="2445" spans="1:9">
      <c r="A2445" t="s">
        <v>128</v>
      </c>
      <c r="B2445" t="s">
        <v>16</v>
      </c>
      <c r="C2445">
        <v>2019</v>
      </c>
      <c r="D2445" t="s">
        <v>147</v>
      </c>
      <c r="E2445">
        <v>18</v>
      </c>
      <c r="F2445">
        <v>17</v>
      </c>
      <c r="G2445">
        <v>1</v>
      </c>
      <c r="H2445">
        <v>0</v>
      </c>
      <c r="I2445" t="s">
        <v>53</v>
      </c>
    </row>
    <row r="2446" spans="1:9">
      <c r="A2446" t="s">
        <v>15</v>
      </c>
      <c r="B2446" t="s">
        <v>130</v>
      </c>
      <c r="C2446">
        <v>2019</v>
      </c>
      <c r="D2446" t="s">
        <v>147</v>
      </c>
      <c r="E2446">
        <v>12</v>
      </c>
      <c r="F2446">
        <v>10</v>
      </c>
      <c r="G2446">
        <v>2</v>
      </c>
      <c r="H2446">
        <v>1</v>
      </c>
      <c r="I2446" t="s">
        <v>24</v>
      </c>
    </row>
    <row r="2447" spans="1:9">
      <c r="A2447" t="s">
        <v>17</v>
      </c>
      <c r="B2447" t="s">
        <v>129</v>
      </c>
      <c r="C2447">
        <v>2019</v>
      </c>
      <c r="D2447" t="s">
        <v>147</v>
      </c>
      <c r="E2447">
        <v>11</v>
      </c>
      <c r="F2447">
        <v>7</v>
      </c>
      <c r="G2447">
        <v>4</v>
      </c>
      <c r="H2447">
        <v>6</v>
      </c>
      <c r="I2447" t="s">
        <v>12</v>
      </c>
    </row>
    <row r="2448" spans="1:9">
      <c r="A2448" t="s">
        <v>46</v>
      </c>
      <c r="B2448" t="s">
        <v>130</v>
      </c>
      <c r="C2448">
        <v>2019</v>
      </c>
      <c r="D2448" t="s">
        <v>147</v>
      </c>
      <c r="E2448">
        <v>13</v>
      </c>
      <c r="F2448">
        <v>8</v>
      </c>
      <c r="G2448">
        <v>5</v>
      </c>
      <c r="H2448">
        <v>4</v>
      </c>
      <c r="I2448" t="s">
        <v>12</v>
      </c>
    </row>
    <row r="2449" spans="1:9">
      <c r="A2449" t="s">
        <v>20</v>
      </c>
      <c r="B2449" t="s">
        <v>10</v>
      </c>
      <c r="C2449">
        <v>2019</v>
      </c>
      <c r="D2449" t="s">
        <v>147</v>
      </c>
      <c r="E2449">
        <v>6</v>
      </c>
      <c r="F2449">
        <v>3</v>
      </c>
      <c r="G2449">
        <v>3</v>
      </c>
      <c r="H2449">
        <v>15</v>
      </c>
      <c r="I2449" t="s">
        <v>12</v>
      </c>
    </row>
    <row r="2450" spans="1:9">
      <c r="A2450" t="s">
        <v>23</v>
      </c>
      <c r="B2450" t="s">
        <v>16</v>
      </c>
      <c r="C2450">
        <v>2019</v>
      </c>
      <c r="D2450" t="s">
        <v>147</v>
      </c>
      <c r="E2450">
        <v>17</v>
      </c>
      <c r="F2450">
        <v>15</v>
      </c>
      <c r="G2450">
        <v>2</v>
      </c>
      <c r="H2450">
        <v>0</v>
      </c>
      <c r="I2450" t="s">
        <v>53</v>
      </c>
    </row>
    <row r="2451" spans="1:9">
      <c r="A2451" t="s">
        <v>131</v>
      </c>
      <c r="B2451" t="s">
        <v>143</v>
      </c>
      <c r="C2451">
        <v>2019</v>
      </c>
      <c r="D2451" t="s">
        <v>147</v>
      </c>
      <c r="E2451">
        <v>9</v>
      </c>
      <c r="F2451">
        <v>11</v>
      </c>
      <c r="G2451">
        <v>-2</v>
      </c>
      <c r="H2451">
        <v>0</v>
      </c>
      <c r="I2451" t="s">
        <v>24</v>
      </c>
    </row>
    <row r="2452" spans="1:9">
      <c r="A2452" t="s">
        <v>25</v>
      </c>
      <c r="B2452" t="s">
        <v>18</v>
      </c>
      <c r="C2452">
        <v>2019</v>
      </c>
      <c r="D2452" t="s">
        <v>147</v>
      </c>
      <c r="E2452">
        <v>4</v>
      </c>
      <c r="F2452">
        <v>6</v>
      </c>
      <c r="G2452">
        <v>-2</v>
      </c>
      <c r="H2452">
        <v>8</v>
      </c>
      <c r="I2452" t="s">
        <v>12</v>
      </c>
    </row>
    <row r="2453" spans="1:9">
      <c r="A2453" t="s">
        <v>26</v>
      </c>
      <c r="B2453" t="s">
        <v>33</v>
      </c>
      <c r="C2453">
        <v>2019</v>
      </c>
      <c r="D2453" t="s">
        <v>147</v>
      </c>
      <c r="E2453">
        <v>7</v>
      </c>
      <c r="F2453">
        <v>13</v>
      </c>
      <c r="G2453">
        <v>-6</v>
      </c>
      <c r="H2453">
        <v>0</v>
      </c>
      <c r="I2453" t="s">
        <v>24</v>
      </c>
    </row>
    <row r="2454" spans="1:9">
      <c r="A2454" t="s">
        <v>28</v>
      </c>
      <c r="B2454" t="s">
        <v>129</v>
      </c>
      <c r="C2454">
        <v>2019</v>
      </c>
      <c r="D2454" t="s">
        <v>147</v>
      </c>
      <c r="E2454">
        <v>16</v>
      </c>
      <c r="F2454">
        <v>12</v>
      </c>
      <c r="G2454">
        <v>4</v>
      </c>
      <c r="H2454">
        <v>0</v>
      </c>
      <c r="I2454" t="s">
        <v>24</v>
      </c>
    </row>
    <row r="2455" spans="1:9">
      <c r="A2455" t="s">
        <v>115</v>
      </c>
      <c r="B2455" t="s">
        <v>87</v>
      </c>
      <c r="C2455">
        <v>2019</v>
      </c>
      <c r="D2455" t="s">
        <v>147</v>
      </c>
      <c r="E2455">
        <v>15</v>
      </c>
      <c r="F2455">
        <v>14</v>
      </c>
      <c r="G2455">
        <v>1</v>
      </c>
      <c r="H2455">
        <v>0</v>
      </c>
      <c r="I2455" t="s">
        <v>24</v>
      </c>
    </row>
    <row r="2456" spans="1:9">
      <c r="A2456" t="s">
        <v>29</v>
      </c>
      <c r="B2456" t="s">
        <v>143</v>
      </c>
      <c r="C2456">
        <v>2019</v>
      </c>
      <c r="D2456" t="s">
        <v>147</v>
      </c>
      <c r="E2456">
        <v>10</v>
      </c>
      <c r="F2456">
        <v>9</v>
      </c>
      <c r="G2456">
        <v>1</v>
      </c>
      <c r="H2456">
        <v>2</v>
      </c>
      <c r="I2456" t="s">
        <v>24</v>
      </c>
    </row>
    <row r="2457" spans="1:9">
      <c r="A2457" t="s">
        <v>31</v>
      </c>
      <c r="B2457" t="s">
        <v>27</v>
      </c>
      <c r="C2457">
        <v>2019</v>
      </c>
      <c r="D2457" t="s">
        <v>147</v>
      </c>
      <c r="E2457">
        <v>1</v>
      </c>
      <c r="F2457">
        <v>4</v>
      </c>
      <c r="G2457">
        <v>-3</v>
      </c>
      <c r="H2457">
        <v>13</v>
      </c>
      <c r="I2457" t="s">
        <v>12</v>
      </c>
    </row>
    <row r="2458" spans="1:9">
      <c r="A2458" t="s">
        <v>32</v>
      </c>
      <c r="B2458" t="s">
        <v>33</v>
      </c>
      <c r="C2458">
        <v>2019</v>
      </c>
      <c r="D2458" t="s">
        <v>147</v>
      </c>
      <c r="E2458">
        <v>8</v>
      </c>
      <c r="F2458">
        <v>20</v>
      </c>
      <c r="G2458">
        <v>-12</v>
      </c>
      <c r="H2458">
        <v>0</v>
      </c>
      <c r="I2458" t="s">
        <v>84</v>
      </c>
    </row>
    <row r="2459" spans="1:9">
      <c r="A2459" t="s">
        <v>34</v>
      </c>
      <c r="B2459" t="s">
        <v>36</v>
      </c>
      <c r="C2459">
        <v>2019</v>
      </c>
      <c r="D2459" t="s">
        <v>147</v>
      </c>
      <c r="E2459">
        <v>19</v>
      </c>
      <c r="F2459">
        <v>16</v>
      </c>
      <c r="G2459">
        <v>3</v>
      </c>
      <c r="H2459">
        <v>0</v>
      </c>
      <c r="I2459" t="s">
        <v>53</v>
      </c>
    </row>
    <row r="2460" spans="1:9">
      <c r="A2460" t="s">
        <v>35</v>
      </c>
      <c r="B2460" t="s">
        <v>18</v>
      </c>
      <c r="C2460">
        <v>2019</v>
      </c>
      <c r="D2460" t="s">
        <v>147</v>
      </c>
      <c r="E2460">
        <v>5</v>
      </c>
      <c r="F2460">
        <v>5</v>
      </c>
      <c r="G2460">
        <v>0</v>
      </c>
      <c r="H2460">
        <v>10</v>
      </c>
      <c r="I2460" t="s">
        <v>12</v>
      </c>
    </row>
    <row r="2461" spans="1:9">
      <c r="A2461" t="s">
        <v>9</v>
      </c>
      <c r="B2461" t="s">
        <v>10</v>
      </c>
      <c r="C2461">
        <v>2019</v>
      </c>
      <c r="D2461" t="s">
        <v>76</v>
      </c>
      <c r="E2461">
        <v>1</v>
      </c>
      <c r="F2461">
        <v>1</v>
      </c>
      <c r="G2461">
        <v>0</v>
      </c>
      <c r="H2461">
        <v>25</v>
      </c>
      <c r="I2461" t="s">
        <v>12</v>
      </c>
    </row>
    <row r="2462" spans="1:9">
      <c r="A2462" t="s">
        <v>114</v>
      </c>
      <c r="B2462" t="s">
        <v>87</v>
      </c>
      <c r="C2462">
        <v>2019</v>
      </c>
      <c r="D2462" t="s">
        <v>76</v>
      </c>
      <c r="E2462">
        <v>14</v>
      </c>
      <c r="F2462">
        <v>17</v>
      </c>
      <c r="G2462">
        <v>-3</v>
      </c>
      <c r="H2462">
        <v>0</v>
      </c>
      <c r="I2462" t="s">
        <v>24</v>
      </c>
    </row>
    <row r="2463" spans="1:9">
      <c r="A2463" t="s">
        <v>117</v>
      </c>
      <c r="B2463" t="s">
        <v>36</v>
      </c>
      <c r="C2463">
        <v>2019</v>
      </c>
      <c r="D2463" t="s">
        <v>76</v>
      </c>
      <c r="E2463">
        <v>20</v>
      </c>
      <c r="F2463">
        <v>18</v>
      </c>
      <c r="G2463">
        <v>2</v>
      </c>
      <c r="H2463">
        <v>0</v>
      </c>
      <c r="I2463" t="s">
        <v>24</v>
      </c>
    </row>
    <row r="2464" spans="1:9">
      <c r="A2464" t="s">
        <v>100</v>
      </c>
      <c r="B2464" t="s">
        <v>27</v>
      </c>
      <c r="C2464">
        <v>2019</v>
      </c>
      <c r="D2464" t="s">
        <v>76</v>
      </c>
      <c r="E2464">
        <v>4</v>
      </c>
      <c r="F2464">
        <v>2</v>
      </c>
      <c r="G2464">
        <v>2</v>
      </c>
      <c r="H2464">
        <v>18</v>
      </c>
      <c r="I2464" t="s">
        <v>12</v>
      </c>
    </row>
    <row r="2465" spans="1:9">
      <c r="A2465" t="s">
        <v>128</v>
      </c>
      <c r="B2465" t="s">
        <v>16</v>
      </c>
      <c r="C2465">
        <v>2019</v>
      </c>
      <c r="D2465" t="s">
        <v>76</v>
      </c>
      <c r="E2465">
        <v>13</v>
      </c>
      <c r="F2465">
        <v>10</v>
      </c>
      <c r="G2465">
        <v>3</v>
      </c>
      <c r="H2465">
        <v>1</v>
      </c>
      <c r="I2465" t="s">
        <v>12</v>
      </c>
    </row>
    <row r="2466" spans="1:9">
      <c r="A2466" t="s">
        <v>15</v>
      </c>
      <c r="B2466" t="s">
        <v>130</v>
      </c>
      <c r="C2466">
        <v>2019</v>
      </c>
      <c r="D2466" t="s">
        <v>76</v>
      </c>
      <c r="E2466">
        <v>11</v>
      </c>
      <c r="F2466">
        <v>13</v>
      </c>
      <c r="G2466">
        <v>-2</v>
      </c>
      <c r="H2466">
        <v>0</v>
      </c>
      <c r="I2466" t="s">
        <v>24</v>
      </c>
    </row>
    <row r="2467" spans="1:9">
      <c r="A2467" t="s">
        <v>17</v>
      </c>
      <c r="B2467" t="s">
        <v>129</v>
      </c>
      <c r="C2467">
        <v>2019</v>
      </c>
      <c r="D2467" t="s">
        <v>76</v>
      </c>
      <c r="E2467">
        <v>16</v>
      </c>
      <c r="F2467">
        <v>12</v>
      </c>
      <c r="G2467">
        <v>4</v>
      </c>
      <c r="H2467">
        <v>0</v>
      </c>
      <c r="I2467" t="s">
        <v>24</v>
      </c>
    </row>
    <row r="2468" spans="1:9">
      <c r="A2468" t="s">
        <v>46</v>
      </c>
      <c r="B2468" t="s">
        <v>130</v>
      </c>
      <c r="C2468">
        <v>2019</v>
      </c>
      <c r="D2468" t="s">
        <v>76</v>
      </c>
      <c r="E2468">
        <v>6</v>
      </c>
      <c r="F2468">
        <v>9</v>
      </c>
      <c r="G2468">
        <v>-3</v>
      </c>
      <c r="H2468">
        <v>2</v>
      </c>
      <c r="I2468" t="s">
        <v>12</v>
      </c>
    </row>
    <row r="2469" spans="1:9">
      <c r="A2469" t="s">
        <v>20</v>
      </c>
      <c r="B2469" t="s">
        <v>10</v>
      </c>
      <c r="C2469">
        <v>2019</v>
      </c>
      <c r="D2469" t="s">
        <v>76</v>
      </c>
      <c r="E2469">
        <v>2</v>
      </c>
      <c r="F2469">
        <v>3</v>
      </c>
      <c r="G2469">
        <v>-1</v>
      </c>
      <c r="H2469">
        <v>15</v>
      </c>
      <c r="I2469" t="s">
        <v>12</v>
      </c>
    </row>
    <row r="2470" spans="1:9">
      <c r="A2470" t="s">
        <v>23</v>
      </c>
      <c r="B2470" t="s">
        <v>16</v>
      </c>
      <c r="C2470">
        <v>2019</v>
      </c>
      <c r="D2470" t="s">
        <v>76</v>
      </c>
      <c r="E2470">
        <v>5</v>
      </c>
      <c r="F2470">
        <v>14</v>
      </c>
      <c r="G2470">
        <v>-9</v>
      </c>
      <c r="H2470">
        <v>0</v>
      </c>
      <c r="I2470" t="s">
        <v>24</v>
      </c>
    </row>
    <row r="2471" spans="1:9">
      <c r="A2471" t="s">
        <v>131</v>
      </c>
      <c r="B2471" t="s">
        <v>143</v>
      </c>
      <c r="C2471">
        <v>2019</v>
      </c>
      <c r="D2471" t="s">
        <v>76</v>
      </c>
      <c r="E2471">
        <v>7</v>
      </c>
      <c r="F2471">
        <v>7</v>
      </c>
      <c r="G2471">
        <v>0</v>
      </c>
      <c r="H2471">
        <v>6</v>
      </c>
      <c r="I2471" t="s">
        <v>12</v>
      </c>
    </row>
    <row r="2472" spans="1:9">
      <c r="A2472" t="s">
        <v>25</v>
      </c>
      <c r="B2472" t="s">
        <v>18</v>
      </c>
      <c r="C2472">
        <v>2019</v>
      </c>
      <c r="D2472" t="s">
        <v>76</v>
      </c>
      <c r="E2472">
        <v>3</v>
      </c>
      <c r="F2472">
        <v>4</v>
      </c>
      <c r="G2472">
        <v>-1</v>
      </c>
      <c r="H2472">
        <v>12</v>
      </c>
      <c r="I2472" t="s">
        <v>12</v>
      </c>
    </row>
    <row r="2473" spans="1:9">
      <c r="A2473" t="s">
        <v>26</v>
      </c>
      <c r="B2473" t="s">
        <v>33</v>
      </c>
      <c r="C2473">
        <v>2019</v>
      </c>
      <c r="D2473" t="s">
        <v>76</v>
      </c>
      <c r="E2473">
        <v>9</v>
      </c>
      <c r="F2473">
        <v>6</v>
      </c>
      <c r="G2473">
        <v>3</v>
      </c>
      <c r="H2473">
        <v>8</v>
      </c>
      <c r="I2473" t="s">
        <v>12</v>
      </c>
    </row>
    <row r="2474" spans="1:9">
      <c r="A2474" t="s">
        <v>28</v>
      </c>
      <c r="B2474" t="s">
        <v>129</v>
      </c>
      <c r="C2474">
        <v>2019</v>
      </c>
      <c r="D2474" t="s">
        <v>76</v>
      </c>
      <c r="E2474">
        <v>17</v>
      </c>
      <c r="F2474">
        <v>16</v>
      </c>
      <c r="G2474">
        <v>1</v>
      </c>
      <c r="H2474">
        <v>0</v>
      </c>
      <c r="I2474" t="s">
        <v>24</v>
      </c>
    </row>
    <row r="2475" spans="1:9">
      <c r="A2475" t="s">
        <v>115</v>
      </c>
      <c r="B2475" t="s">
        <v>87</v>
      </c>
      <c r="C2475">
        <v>2019</v>
      </c>
      <c r="D2475" t="s">
        <v>76</v>
      </c>
      <c r="E2475">
        <v>18</v>
      </c>
      <c r="F2475">
        <v>19</v>
      </c>
      <c r="G2475">
        <v>-1</v>
      </c>
      <c r="H2475">
        <v>0</v>
      </c>
      <c r="I2475" t="s">
        <v>53</v>
      </c>
    </row>
    <row r="2476" spans="1:9">
      <c r="A2476" t="s">
        <v>29</v>
      </c>
      <c r="B2476" t="s">
        <v>18</v>
      </c>
      <c r="C2476">
        <v>2019</v>
      </c>
      <c r="D2476" t="s">
        <v>76</v>
      </c>
      <c r="E2476">
        <v>8</v>
      </c>
      <c r="F2476">
        <v>5</v>
      </c>
      <c r="G2476">
        <v>3</v>
      </c>
      <c r="H2476">
        <v>11</v>
      </c>
      <c r="I2476" t="s">
        <v>12</v>
      </c>
    </row>
    <row r="2477" spans="1:9">
      <c r="A2477" t="s">
        <v>31</v>
      </c>
      <c r="B2477" t="s">
        <v>27</v>
      </c>
      <c r="C2477">
        <v>2019</v>
      </c>
      <c r="D2477" t="s">
        <v>76</v>
      </c>
      <c r="E2477">
        <v>15</v>
      </c>
      <c r="F2477">
        <v>20</v>
      </c>
      <c r="G2477">
        <v>-5</v>
      </c>
      <c r="H2477">
        <v>0</v>
      </c>
      <c r="I2477" t="s">
        <v>19</v>
      </c>
    </row>
    <row r="2478" spans="1:9">
      <c r="A2478" t="s">
        <v>32</v>
      </c>
      <c r="B2478" t="s">
        <v>33</v>
      </c>
      <c r="C2478">
        <v>2019</v>
      </c>
      <c r="D2478" t="s">
        <v>76</v>
      </c>
      <c r="E2478">
        <v>12</v>
      </c>
      <c r="F2478">
        <v>11</v>
      </c>
      <c r="G2478">
        <v>1</v>
      </c>
      <c r="H2478">
        <v>0</v>
      </c>
      <c r="I2478" t="s">
        <v>12</v>
      </c>
    </row>
    <row r="2479" spans="1:9">
      <c r="A2479" t="s">
        <v>34</v>
      </c>
      <c r="B2479" t="s">
        <v>36</v>
      </c>
      <c r="C2479">
        <v>2019</v>
      </c>
      <c r="D2479" t="s">
        <v>76</v>
      </c>
      <c r="E2479">
        <v>19</v>
      </c>
      <c r="F2479">
        <v>15</v>
      </c>
      <c r="G2479">
        <v>4</v>
      </c>
      <c r="H2479">
        <v>0</v>
      </c>
      <c r="I2479" t="s">
        <v>24</v>
      </c>
    </row>
    <row r="2480" spans="1:9">
      <c r="A2480" t="s">
        <v>35</v>
      </c>
      <c r="B2480" t="s">
        <v>143</v>
      </c>
      <c r="C2480">
        <v>2019</v>
      </c>
      <c r="D2480" t="s">
        <v>76</v>
      </c>
      <c r="E2480">
        <v>10</v>
      </c>
      <c r="F2480">
        <v>8</v>
      </c>
      <c r="G2480">
        <v>2</v>
      </c>
      <c r="H2480">
        <v>4</v>
      </c>
      <c r="I2480" t="s">
        <v>12</v>
      </c>
    </row>
    <row r="2481" spans="1:9">
      <c r="A2481" t="s">
        <v>9</v>
      </c>
      <c r="B2481" t="s">
        <v>10</v>
      </c>
      <c r="C2481">
        <v>2019</v>
      </c>
      <c r="D2481" t="s">
        <v>124</v>
      </c>
      <c r="E2481">
        <v>2</v>
      </c>
      <c r="F2481">
        <v>1</v>
      </c>
      <c r="G2481">
        <v>1</v>
      </c>
      <c r="H2481">
        <v>26</v>
      </c>
      <c r="I2481" t="s">
        <v>12</v>
      </c>
    </row>
    <row r="2482" spans="1:9">
      <c r="A2482" t="s">
        <v>114</v>
      </c>
      <c r="B2482" t="s">
        <v>87</v>
      </c>
      <c r="C2482">
        <v>2019</v>
      </c>
      <c r="D2482" t="s">
        <v>124</v>
      </c>
      <c r="E2482">
        <v>15</v>
      </c>
      <c r="F2482">
        <v>13</v>
      </c>
      <c r="G2482">
        <v>2</v>
      </c>
      <c r="H2482">
        <v>0</v>
      </c>
      <c r="I2482" t="s">
        <v>12</v>
      </c>
    </row>
    <row r="2483" spans="1:9">
      <c r="A2483" t="s">
        <v>117</v>
      </c>
      <c r="B2483" t="s">
        <v>36</v>
      </c>
      <c r="C2483">
        <v>2019</v>
      </c>
      <c r="D2483" t="s">
        <v>124</v>
      </c>
      <c r="E2483">
        <v>18</v>
      </c>
      <c r="F2483">
        <v>16</v>
      </c>
      <c r="G2483">
        <v>2</v>
      </c>
      <c r="H2483">
        <v>0</v>
      </c>
      <c r="I2483" t="s">
        <v>47</v>
      </c>
    </row>
    <row r="2484" spans="1:9">
      <c r="A2484" t="s">
        <v>100</v>
      </c>
      <c r="B2484" t="s">
        <v>27</v>
      </c>
      <c r="C2484">
        <v>2019</v>
      </c>
      <c r="D2484" t="s">
        <v>124</v>
      </c>
      <c r="E2484">
        <v>3</v>
      </c>
      <c r="F2484">
        <v>18</v>
      </c>
      <c r="G2484">
        <v>-15</v>
      </c>
      <c r="H2484">
        <v>0</v>
      </c>
      <c r="I2484" t="s">
        <v>89</v>
      </c>
    </row>
    <row r="2485" spans="1:9">
      <c r="A2485" t="s">
        <v>128</v>
      </c>
      <c r="B2485" t="s">
        <v>16</v>
      </c>
      <c r="C2485">
        <v>2019</v>
      </c>
      <c r="D2485" t="s">
        <v>124</v>
      </c>
      <c r="E2485">
        <v>8</v>
      </c>
      <c r="F2485">
        <v>20</v>
      </c>
      <c r="G2485">
        <v>-12</v>
      </c>
      <c r="H2485">
        <v>0</v>
      </c>
      <c r="I2485" t="s">
        <v>19</v>
      </c>
    </row>
    <row r="2486" spans="1:9">
      <c r="A2486" t="s">
        <v>15</v>
      </c>
      <c r="B2486" t="s">
        <v>130</v>
      </c>
      <c r="C2486">
        <v>2019</v>
      </c>
      <c r="D2486" t="s">
        <v>124</v>
      </c>
      <c r="E2486">
        <v>6</v>
      </c>
      <c r="F2486">
        <v>10</v>
      </c>
      <c r="G2486">
        <v>-4</v>
      </c>
      <c r="H2486">
        <v>1</v>
      </c>
      <c r="I2486" t="s">
        <v>12</v>
      </c>
    </row>
    <row r="2487" spans="1:9">
      <c r="A2487" t="s">
        <v>17</v>
      </c>
      <c r="B2487" t="s">
        <v>129</v>
      </c>
      <c r="C2487">
        <v>2019</v>
      </c>
      <c r="D2487" t="s">
        <v>124</v>
      </c>
      <c r="E2487">
        <v>11</v>
      </c>
      <c r="F2487">
        <v>7</v>
      </c>
      <c r="G2487">
        <v>4</v>
      </c>
      <c r="H2487">
        <v>6</v>
      </c>
      <c r="I2487" t="s">
        <v>12</v>
      </c>
    </row>
    <row r="2488" spans="1:9">
      <c r="A2488" t="s">
        <v>46</v>
      </c>
      <c r="B2488" t="s">
        <v>130</v>
      </c>
      <c r="C2488">
        <v>2019</v>
      </c>
      <c r="D2488" t="s">
        <v>124</v>
      </c>
      <c r="E2488">
        <v>10</v>
      </c>
      <c r="F2488">
        <v>19</v>
      </c>
      <c r="G2488">
        <v>-9</v>
      </c>
      <c r="H2488">
        <v>0</v>
      </c>
      <c r="I2488" t="s">
        <v>19</v>
      </c>
    </row>
    <row r="2489" spans="1:9">
      <c r="A2489" t="s">
        <v>20</v>
      </c>
      <c r="B2489" t="s">
        <v>10</v>
      </c>
      <c r="C2489">
        <v>2019</v>
      </c>
      <c r="D2489" t="s">
        <v>124</v>
      </c>
      <c r="E2489">
        <v>4</v>
      </c>
      <c r="F2489">
        <v>2</v>
      </c>
      <c r="G2489">
        <v>2</v>
      </c>
      <c r="H2489">
        <v>18</v>
      </c>
      <c r="I2489" t="s">
        <v>12</v>
      </c>
    </row>
    <row r="2490" spans="1:9">
      <c r="A2490" t="s">
        <v>23</v>
      </c>
      <c r="B2490" t="s">
        <v>16</v>
      </c>
      <c r="C2490">
        <v>2019</v>
      </c>
      <c r="D2490" t="s">
        <v>124</v>
      </c>
      <c r="E2490">
        <v>13</v>
      </c>
      <c r="F2490">
        <v>9</v>
      </c>
      <c r="G2490">
        <v>4</v>
      </c>
      <c r="H2490">
        <v>2</v>
      </c>
      <c r="I2490" t="s">
        <v>12</v>
      </c>
    </row>
    <row r="2491" spans="1:9">
      <c r="A2491" t="s">
        <v>131</v>
      </c>
      <c r="B2491" t="s">
        <v>143</v>
      </c>
      <c r="C2491">
        <v>2019</v>
      </c>
      <c r="D2491" t="s">
        <v>124</v>
      </c>
      <c r="E2491">
        <v>19</v>
      </c>
      <c r="F2491">
        <v>12</v>
      </c>
      <c r="G2491">
        <v>7</v>
      </c>
      <c r="H2491">
        <v>0</v>
      </c>
      <c r="I2491" t="s">
        <v>12</v>
      </c>
    </row>
    <row r="2492" spans="1:9">
      <c r="A2492" t="s">
        <v>25</v>
      </c>
      <c r="B2492" t="s">
        <v>18</v>
      </c>
      <c r="C2492">
        <v>2019</v>
      </c>
      <c r="D2492" t="s">
        <v>124</v>
      </c>
      <c r="E2492">
        <v>9</v>
      </c>
      <c r="F2492">
        <v>4</v>
      </c>
      <c r="G2492">
        <v>5</v>
      </c>
      <c r="H2492">
        <v>12</v>
      </c>
      <c r="I2492" t="s">
        <v>12</v>
      </c>
    </row>
    <row r="2493" spans="1:9">
      <c r="A2493" t="s">
        <v>26</v>
      </c>
      <c r="B2493" t="s">
        <v>33</v>
      </c>
      <c r="C2493">
        <v>2019</v>
      </c>
      <c r="D2493" t="s">
        <v>124</v>
      </c>
      <c r="E2493">
        <v>5</v>
      </c>
      <c r="F2493">
        <v>6</v>
      </c>
      <c r="G2493">
        <v>-1</v>
      </c>
      <c r="H2493">
        <v>8</v>
      </c>
      <c r="I2493" t="s">
        <v>12</v>
      </c>
    </row>
    <row r="2494" spans="1:9">
      <c r="A2494" t="s">
        <v>28</v>
      </c>
      <c r="B2494" t="s">
        <v>129</v>
      </c>
      <c r="C2494">
        <v>2019</v>
      </c>
      <c r="D2494" t="s">
        <v>124</v>
      </c>
      <c r="E2494">
        <v>14</v>
      </c>
      <c r="F2494">
        <v>11</v>
      </c>
      <c r="G2494">
        <v>3</v>
      </c>
      <c r="H2494">
        <v>0</v>
      </c>
      <c r="I2494" t="s">
        <v>12</v>
      </c>
    </row>
    <row r="2495" spans="1:9">
      <c r="A2495" t="s">
        <v>115</v>
      </c>
      <c r="B2495" t="s">
        <v>87</v>
      </c>
      <c r="C2495">
        <v>2019</v>
      </c>
      <c r="D2495" t="s">
        <v>124</v>
      </c>
      <c r="E2495">
        <v>12</v>
      </c>
      <c r="F2495">
        <v>15</v>
      </c>
      <c r="G2495">
        <v>-3</v>
      </c>
      <c r="H2495">
        <v>0</v>
      </c>
      <c r="I2495" t="s">
        <v>12</v>
      </c>
    </row>
    <row r="2496" spans="1:9">
      <c r="A2496" t="s">
        <v>29</v>
      </c>
      <c r="B2496" t="s">
        <v>143</v>
      </c>
      <c r="C2496">
        <v>2019</v>
      </c>
      <c r="D2496" t="s">
        <v>124</v>
      </c>
      <c r="E2496">
        <v>16</v>
      </c>
      <c r="F2496">
        <v>14</v>
      </c>
      <c r="G2496">
        <v>2</v>
      </c>
      <c r="H2496">
        <v>0</v>
      </c>
      <c r="I2496" t="s">
        <v>12</v>
      </c>
    </row>
    <row r="2497" spans="1:9">
      <c r="A2497" t="s">
        <v>31</v>
      </c>
      <c r="B2497" t="s">
        <v>27</v>
      </c>
      <c r="C2497">
        <v>2019</v>
      </c>
      <c r="D2497" t="s">
        <v>124</v>
      </c>
      <c r="E2497">
        <v>1</v>
      </c>
      <c r="F2497">
        <v>3</v>
      </c>
      <c r="G2497">
        <v>-2</v>
      </c>
      <c r="H2497">
        <v>15</v>
      </c>
      <c r="I2497" t="s">
        <v>12</v>
      </c>
    </row>
    <row r="2498" spans="1:9">
      <c r="A2498" t="s">
        <v>32</v>
      </c>
      <c r="B2498" t="s">
        <v>33</v>
      </c>
      <c r="C2498">
        <v>2019</v>
      </c>
      <c r="D2498" t="s">
        <v>124</v>
      </c>
      <c r="E2498">
        <v>7</v>
      </c>
      <c r="F2498">
        <v>8</v>
      </c>
      <c r="G2498">
        <v>-1</v>
      </c>
      <c r="H2498">
        <v>4</v>
      </c>
      <c r="I2498" t="s">
        <v>12</v>
      </c>
    </row>
    <row r="2499" spans="1:9">
      <c r="A2499" t="s">
        <v>34</v>
      </c>
      <c r="B2499" t="s">
        <v>36</v>
      </c>
      <c r="C2499">
        <v>2019</v>
      </c>
      <c r="D2499" t="s">
        <v>124</v>
      </c>
      <c r="E2499">
        <v>17</v>
      </c>
      <c r="F2499">
        <v>17</v>
      </c>
      <c r="G2499">
        <v>0</v>
      </c>
      <c r="H2499">
        <v>0</v>
      </c>
      <c r="I2499" t="s">
        <v>47</v>
      </c>
    </row>
    <row r="2500" spans="1:9">
      <c r="A2500" t="s">
        <v>35</v>
      </c>
      <c r="B2500" t="s">
        <v>18</v>
      </c>
      <c r="C2500">
        <v>2019</v>
      </c>
      <c r="D2500" t="s">
        <v>124</v>
      </c>
      <c r="E2500">
        <v>0</v>
      </c>
      <c r="F2500">
        <v>5</v>
      </c>
      <c r="G2500">
        <v>-5</v>
      </c>
      <c r="H2500">
        <v>10</v>
      </c>
      <c r="I2500" t="s">
        <v>12</v>
      </c>
    </row>
    <row r="2501" spans="1:9">
      <c r="A2501" t="s">
        <v>9</v>
      </c>
      <c r="B2501" t="s">
        <v>10</v>
      </c>
      <c r="C2501">
        <v>2019</v>
      </c>
      <c r="D2501" t="s">
        <v>80</v>
      </c>
      <c r="E2501">
        <v>2</v>
      </c>
      <c r="F2501">
        <v>4</v>
      </c>
      <c r="G2501">
        <v>-2</v>
      </c>
      <c r="H2501">
        <v>12</v>
      </c>
      <c r="I2501" t="s">
        <v>12</v>
      </c>
    </row>
    <row r="2502" spans="1:9">
      <c r="A2502" t="s">
        <v>114</v>
      </c>
      <c r="B2502" t="s">
        <v>87</v>
      </c>
      <c r="C2502">
        <v>2019</v>
      </c>
      <c r="D2502" t="s">
        <v>80</v>
      </c>
      <c r="E2502">
        <v>12</v>
      </c>
      <c r="F2502">
        <v>18</v>
      </c>
      <c r="G2502">
        <v>-6</v>
      </c>
      <c r="H2502">
        <v>0</v>
      </c>
      <c r="I2502" t="s">
        <v>19</v>
      </c>
    </row>
    <row r="2503" spans="1:9">
      <c r="A2503" t="s">
        <v>117</v>
      </c>
      <c r="B2503" t="s">
        <v>36</v>
      </c>
      <c r="C2503">
        <v>2019</v>
      </c>
      <c r="D2503" t="s">
        <v>80</v>
      </c>
      <c r="E2503">
        <v>19</v>
      </c>
      <c r="F2503">
        <v>16</v>
      </c>
      <c r="G2503">
        <v>3</v>
      </c>
      <c r="H2503">
        <v>0</v>
      </c>
      <c r="I2503" t="s">
        <v>12</v>
      </c>
    </row>
    <row r="2504" spans="1:9">
      <c r="A2504" t="s">
        <v>100</v>
      </c>
      <c r="B2504" t="s">
        <v>27</v>
      </c>
      <c r="C2504">
        <v>2019</v>
      </c>
      <c r="D2504" t="s">
        <v>80</v>
      </c>
      <c r="E2504">
        <v>3</v>
      </c>
      <c r="F2504">
        <v>1</v>
      </c>
      <c r="G2504">
        <v>2</v>
      </c>
      <c r="H2504">
        <v>25</v>
      </c>
      <c r="I2504" t="s">
        <v>12</v>
      </c>
    </row>
    <row r="2505" spans="1:9">
      <c r="A2505" t="s">
        <v>128</v>
      </c>
      <c r="B2505" t="s">
        <v>16</v>
      </c>
      <c r="C2505">
        <v>2019</v>
      </c>
      <c r="D2505" t="s">
        <v>80</v>
      </c>
      <c r="E2505">
        <v>17</v>
      </c>
      <c r="F2505">
        <v>11</v>
      </c>
      <c r="G2505">
        <v>6</v>
      </c>
      <c r="H2505">
        <v>0</v>
      </c>
      <c r="I2505" t="s">
        <v>12</v>
      </c>
    </row>
    <row r="2506" spans="1:9">
      <c r="A2506" t="s">
        <v>15</v>
      </c>
      <c r="B2506" t="s">
        <v>130</v>
      </c>
      <c r="C2506">
        <v>2019</v>
      </c>
      <c r="D2506" t="s">
        <v>80</v>
      </c>
      <c r="E2506">
        <v>8</v>
      </c>
      <c r="F2506">
        <v>9</v>
      </c>
      <c r="G2506">
        <v>-1</v>
      </c>
      <c r="H2506">
        <v>2</v>
      </c>
      <c r="I2506" t="s">
        <v>12</v>
      </c>
    </row>
    <row r="2507" spans="1:9">
      <c r="A2507" t="s">
        <v>17</v>
      </c>
      <c r="B2507" t="s">
        <v>129</v>
      </c>
      <c r="C2507">
        <v>2019</v>
      </c>
      <c r="D2507" t="s">
        <v>80</v>
      </c>
      <c r="E2507">
        <v>15</v>
      </c>
      <c r="F2507">
        <v>19</v>
      </c>
      <c r="G2507">
        <v>-4</v>
      </c>
      <c r="H2507">
        <v>0</v>
      </c>
      <c r="I2507" t="s">
        <v>42</v>
      </c>
    </row>
    <row r="2508" spans="1:9">
      <c r="A2508" t="s">
        <v>46</v>
      </c>
      <c r="B2508" t="s">
        <v>130</v>
      </c>
      <c r="C2508">
        <v>2019</v>
      </c>
      <c r="D2508" t="s">
        <v>80</v>
      </c>
      <c r="E2508">
        <v>20</v>
      </c>
      <c r="F2508">
        <v>14</v>
      </c>
      <c r="G2508">
        <v>6</v>
      </c>
      <c r="H2508">
        <v>0</v>
      </c>
      <c r="I2508" t="s">
        <v>12</v>
      </c>
    </row>
    <row r="2509" spans="1:9">
      <c r="A2509" t="s">
        <v>20</v>
      </c>
      <c r="B2509" t="s">
        <v>10</v>
      </c>
      <c r="C2509">
        <v>2019</v>
      </c>
      <c r="D2509" t="s">
        <v>80</v>
      </c>
      <c r="E2509">
        <v>5</v>
      </c>
      <c r="F2509">
        <v>5</v>
      </c>
      <c r="G2509">
        <v>0</v>
      </c>
      <c r="H2509">
        <v>10</v>
      </c>
      <c r="I2509" t="s">
        <v>12</v>
      </c>
    </row>
    <row r="2510" spans="1:9">
      <c r="A2510" t="s">
        <v>23</v>
      </c>
      <c r="B2510" t="s">
        <v>16</v>
      </c>
      <c r="C2510">
        <v>2019</v>
      </c>
      <c r="D2510" t="s">
        <v>80</v>
      </c>
      <c r="E2510">
        <v>13</v>
      </c>
      <c r="F2510">
        <v>17</v>
      </c>
      <c r="G2510">
        <v>-4</v>
      </c>
      <c r="H2510">
        <v>0</v>
      </c>
      <c r="I2510" t="s">
        <v>12</v>
      </c>
    </row>
    <row r="2511" spans="1:9">
      <c r="A2511" t="s">
        <v>131</v>
      </c>
      <c r="B2511" t="s">
        <v>143</v>
      </c>
      <c r="C2511">
        <v>2019</v>
      </c>
      <c r="D2511" t="s">
        <v>80</v>
      </c>
      <c r="E2511">
        <v>14</v>
      </c>
      <c r="F2511">
        <v>15</v>
      </c>
      <c r="G2511">
        <v>-1</v>
      </c>
      <c r="H2511">
        <v>0</v>
      </c>
      <c r="I2511" t="s">
        <v>12</v>
      </c>
    </row>
    <row r="2512" spans="1:9">
      <c r="A2512" t="s">
        <v>25</v>
      </c>
      <c r="B2512" t="s">
        <v>18</v>
      </c>
      <c r="C2512">
        <v>2019</v>
      </c>
      <c r="D2512" t="s">
        <v>80</v>
      </c>
      <c r="E2512">
        <v>4</v>
      </c>
      <c r="F2512">
        <v>3</v>
      </c>
      <c r="G2512">
        <v>1</v>
      </c>
      <c r="H2512">
        <v>15</v>
      </c>
      <c r="I2512" t="s">
        <v>12</v>
      </c>
    </row>
    <row r="2513" spans="1:9">
      <c r="A2513" t="s">
        <v>26</v>
      </c>
      <c r="B2513" t="s">
        <v>33</v>
      </c>
      <c r="C2513">
        <v>2019</v>
      </c>
      <c r="D2513" t="s">
        <v>80</v>
      </c>
      <c r="E2513">
        <v>7</v>
      </c>
      <c r="F2513">
        <v>12</v>
      </c>
      <c r="G2513">
        <v>-5</v>
      </c>
      <c r="H2513">
        <v>0</v>
      </c>
      <c r="I2513" t="s">
        <v>12</v>
      </c>
    </row>
    <row r="2514" spans="1:9">
      <c r="A2514" t="s">
        <v>28</v>
      </c>
      <c r="B2514" t="s">
        <v>129</v>
      </c>
      <c r="C2514">
        <v>2019</v>
      </c>
      <c r="D2514" t="s">
        <v>80</v>
      </c>
      <c r="E2514">
        <v>16</v>
      </c>
      <c r="F2514">
        <v>13</v>
      </c>
      <c r="G2514">
        <v>3</v>
      </c>
      <c r="H2514">
        <v>0</v>
      </c>
      <c r="I2514" t="s">
        <v>12</v>
      </c>
    </row>
    <row r="2515" spans="1:9">
      <c r="A2515" t="s">
        <v>115</v>
      </c>
      <c r="B2515" t="s">
        <v>87</v>
      </c>
      <c r="C2515">
        <v>2019</v>
      </c>
      <c r="D2515" t="s">
        <v>80</v>
      </c>
      <c r="E2515">
        <v>10</v>
      </c>
      <c r="F2515">
        <v>10</v>
      </c>
      <c r="G2515">
        <v>0</v>
      </c>
      <c r="H2515">
        <v>1</v>
      </c>
      <c r="I2515" t="s">
        <v>12</v>
      </c>
    </row>
    <row r="2516" spans="1:9">
      <c r="A2516" t="s">
        <v>29</v>
      </c>
      <c r="B2516" t="s">
        <v>143</v>
      </c>
      <c r="C2516">
        <v>2019</v>
      </c>
      <c r="D2516" t="s">
        <v>80</v>
      </c>
      <c r="E2516">
        <v>11</v>
      </c>
      <c r="F2516">
        <v>8</v>
      </c>
      <c r="G2516">
        <v>3</v>
      </c>
      <c r="H2516">
        <v>4</v>
      </c>
      <c r="I2516" t="s">
        <v>12</v>
      </c>
    </row>
    <row r="2517" spans="1:9">
      <c r="A2517" t="s">
        <v>31</v>
      </c>
      <c r="B2517" t="s">
        <v>27</v>
      </c>
      <c r="C2517">
        <v>2019</v>
      </c>
      <c r="D2517" t="s">
        <v>80</v>
      </c>
      <c r="E2517">
        <v>1</v>
      </c>
      <c r="F2517">
        <v>2</v>
      </c>
      <c r="G2517">
        <v>-1</v>
      </c>
      <c r="H2517">
        <v>18</v>
      </c>
      <c r="I2517" t="s">
        <v>12</v>
      </c>
    </row>
    <row r="2518" spans="1:9">
      <c r="A2518" t="s">
        <v>32</v>
      </c>
      <c r="B2518" t="s">
        <v>33</v>
      </c>
      <c r="C2518">
        <v>2019</v>
      </c>
      <c r="D2518" t="s">
        <v>80</v>
      </c>
      <c r="E2518">
        <v>9</v>
      </c>
      <c r="F2518">
        <v>7</v>
      </c>
      <c r="G2518">
        <v>2</v>
      </c>
      <c r="H2518">
        <v>6</v>
      </c>
      <c r="I2518" t="s">
        <v>12</v>
      </c>
    </row>
    <row r="2519" spans="1:9">
      <c r="A2519" t="s">
        <v>34</v>
      </c>
      <c r="B2519" t="s">
        <v>36</v>
      </c>
      <c r="C2519">
        <v>2019</v>
      </c>
      <c r="D2519" t="s">
        <v>80</v>
      </c>
      <c r="E2519">
        <v>18</v>
      </c>
      <c r="F2519">
        <v>20</v>
      </c>
      <c r="G2519">
        <v>-2</v>
      </c>
      <c r="H2519">
        <v>0</v>
      </c>
      <c r="I2519" t="s">
        <v>19</v>
      </c>
    </row>
    <row r="2520" spans="1:9">
      <c r="A2520" t="s">
        <v>35</v>
      </c>
      <c r="B2520" t="s">
        <v>18</v>
      </c>
      <c r="C2520">
        <v>2019</v>
      </c>
      <c r="D2520" t="s">
        <v>80</v>
      </c>
      <c r="E2520">
        <v>6</v>
      </c>
      <c r="F2520">
        <v>6</v>
      </c>
      <c r="G2520">
        <v>0</v>
      </c>
      <c r="H2520">
        <v>8</v>
      </c>
      <c r="I2520" t="s">
        <v>12</v>
      </c>
    </row>
    <row r="2521" spans="1:9">
      <c r="A2521" t="s">
        <v>9</v>
      </c>
      <c r="B2521" t="s">
        <v>10</v>
      </c>
      <c r="C2521">
        <v>2019</v>
      </c>
      <c r="D2521" t="s">
        <v>82</v>
      </c>
      <c r="E2521">
        <v>2</v>
      </c>
      <c r="F2521">
        <v>1</v>
      </c>
      <c r="G2521">
        <v>1</v>
      </c>
      <c r="H2521">
        <v>26</v>
      </c>
      <c r="I2521" t="s">
        <v>12</v>
      </c>
    </row>
    <row r="2522" spans="1:9">
      <c r="A2522" t="s">
        <v>114</v>
      </c>
      <c r="B2522" t="s">
        <v>87</v>
      </c>
      <c r="C2522">
        <v>2019</v>
      </c>
      <c r="D2522" t="s">
        <v>82</v>
      </c>
      <c r="E2522">
        <v>14</v>
      </c>
      <c r="F2522">
        <v>14</v>
      </c>
      <c r="G2522">
        <v>0</v>
      </c>
      <c r="H2522">
        <v>0</v>
      </c>
      <c r="I2522" t="s">
        <v>12</v>
      </c>
    </row>
    <row r="2523" spans="1:9">
      <c r="A2523" t="s">
        <v>117</v>
      </c>
      <c r="B2523" t="s">
        <v>36</v>
      </c>
      <c r="C2523">
        <v>2019</v>
      </c>
      <c r="D2523" t="s">
        <v>82</v>
      </c>
      <c r="E2523">
        <v>17</v>
      </c>
      <c r="F2523">
        <v>18</v>
      </c>
      <c r="G2523">
        <v>-1</v>
      </c>
      <c r="H2523">
        <v>0</v>
      </c>
      <c r="I2523" t="s">
        <v>24</v>
      </c>
    </row>
    <row r="2524" spans="1:9">
      <c r="A2524" t="s">
        <v>100</v>
      </c>
      <c r="B2524" t="s">
        <v>27</v>
      </c>
      <c r="C2524">
        <v>2019</v>
      </c>
      <c r="D2524" t="s">
        <v>82</v>
      </c>
      <c r="E2524">
        <v>3</v>
      </c>
      <c r="F2524">
        <v>4</v>
      </c>
      <c r="G2524">
        <v>-1</v>
      </c>
      <c r="H2524">
        <v>12</v>
      </c>
      <c r="I2524" t="s">
        <v>12</v>
      </c>
    </row>
    <row r="2525" spans="1:9">
      <c r="A2525" t="s">
        <v>128</v>
      </c>
      <c r="B2525" t="s">
        <v>16</v>
      </c>
      <c r="C2525">
        <v>2019</v>
      </c>
      <c r="D2525" t="s">
        <v>82</v>
      </c>
      <c r="E2525">
        <v>7</v>
      </c>
      <c r="F2525">
        <v>10</v>
      </c>
      <c r="G2525">
        <v>-3</v>
      </c>
      <c r="H2525">
        <v>1</v>
      </c>
      <c r="I2525" t="s">
        <v>12</v>
      </c>
    </row>
    <row r="2526" spans="1:9">
      <c r="A2526" t="s">
        <v>15</v>
      </c>
      <c r="B2526" t="s">
        <v>130</v>
      </c>
      <c r="C2526">
        <v>2019</v>
      </c>
      <c r="D2526" t="s">
        <v>82</v>
      </c>
      <c r="E2526">
        <v>0</v>
      </c>
      <c r="F2526">
        <v>13</v>
      </c>
      <c r="G2526">
        <v>-13</v>
      </c>
      <c r="H2526">
        <v>0</v>
      </c>
      <c r="I2526" t="s">
        <v>12</v>
      </c>
    </row>
    <row r="2527" spans="1:9">
      <c r="A2527" t="s">
        <v>17</v>
      </c>
      <c r="B2527" t="s">
        <v>129</v>
      </c>
      <c r="C2527">
        <v>2019</v>
      </c>
      <c r="D2527" t="s">
        <v>82</v>
      </c>
      <c r="E2527">
        <v>15</v>
      </c>
      <c r="F2527">
        <v>15</v>
      </c>
      <c r="G2527">
        <v>0</v>
      </c>
      <c r="H2527">
        <v>0</v>
      </c>
      <c r="I2527" t="s">
        <v>12</v>
      </c>
    </row>
    <row r="2528" spans="1:9">
      <c r="A2528" t="s">
        <v>46</v>
      </c>
      <c r="B2528" t="s">
        <v>130</v>
      </c>
      <c r="C2528">
        <v>2019</v>
      </c>
      <c r="D2528" t="s">
        <v>82</v>
      </c>
      <c r="E2528">
        <v>13</v>
      </c>
      <c r="F2528">
        <v>12</v>
      </c>
      <c r="G2528">
        <v>1</v>
      </c>
      <c r="H2528">
        <v>0</v>
      </c>
      <c r="I2528" t="s">
        <v>12</v>
      </c>
    </row>
    <row r="2529" spans="1:9">
      <c r="A2529" t="s">
        <v>20</v>
      </c>
      <c r="B2529" t="s">
        <v>10</v>
      </c>
      <c r="C2529">
        <v>2019</v>
      </c>
      <c r="D2529" t="s">
        <v>82</v>
      </c>
      <c r="E2529">
        <v>1</v>
      </c>
      <c r="F2529">
        <v>2</v>
      </c>
      <c r="G2529">
        <v>-1</v>
      </c>
      <c r="H2529">
        <v>18</v>
      </c>
      <c r="I2529" t="s">
        <v>12</v>
      </c>
    </row>
    <row r="2530" spans="1:9">
      <c r="A2530" t="s">
        <v>23</v>
      </c>
      <c r="B2530" t="s">
        <v>16</v>
      </c>
      <c r="C2530">
        <v>2019</v>
      </c>
      <c r="D2530" t="s">
        <v>82</v>
      </c>
      <c r="E2530">
        <v>8</v>
      </c>
      <c r="F2530">
        <v>7</v>
      </c>
      <c r="G2530">
        <v>1</v>
      </c>
      <c r="H2530">
        <v>6</v>
      </c>
      <c r="I2530" t="s">
        <v>12</v>
      </c>
    </row>
    <row r="2531" spans="1:9">
      <c r="A2531" t="s">
        <v>131</v>
      </c>
      <c r="B2531" t="s">
        <v>143</v>
      </c>
      <c r="C2531">
        <v>2019</v>
      </c>
      <c r="D2531" t="s">
        <v>82</v>
      </c>
      <c r="E2531">
        <v>9</v>
      </c>
      <c r="F2531">
        <v>9</v>
      </c>
      <c r="G2531">
        <v>0</v>
      </c>
      <c r="H2531">
        <v>2</v>
      </c>
      <c r="I2531" t="s">
        <v>12</v>
      </c>
    </row>
    <row r="2532" spans="1:9">
      <c r="A2532" t="s">
        <v>25</v>
      </c>
      <c r="B2532" t="s">
        <v>18</v>
      </c>
      <c r="C2532">
        <v>2019</v>
      </c>
      <c r="D2532" t="s">
        <v>82</v>
      </c>
      <c r="E2532">
        <v>4</v>
      </c>
      <c r="F2532">
        <v>3</v>
      </c>
      <c r="G2532">
        <v>1</v>
      </c>
      <c r="H2532">
        <v>15</v>
      </c>
      <c r="I2532" t="s">
        <v>12</v>
      </c>
    </row>
    <row r="2533" spans="1:9">
      <c r="A2533" t="s">
        <v>26</v>
      </c>
      <c r="B2533" t="s">
        <v>33</v>
      </c>
      <c r="C2533">
        <v>2019</v>
      </c>
      <c r="D2533" t="s">
        <v>82</v>
      </c>
      <c r="E2533">
        <v>12</v>
      </c>
      <c r="F2533">
        <v>8</v>
      </c>
      <c r="G2533">
        <v>4</v>
      </c>
      <c r="H2533">
        <v>4</v>
      </c>
      <c r="I2533" t="s">
        <v>12</v>
      </c>
    </row>
    <row r="2534" spans="1:9">
      <c r="A2534" t="s">
        <v>28</v>
      </c>
      <c r="B2534" t="s">
        <v>129</v>
      </c>
      <c r="C2534">
        <v>2019</v>
      </c>
      <c r="D2534" t="s">
        <v>82</v>
      </c>
      <c r="E2534">
        <v>16</v>
      </c>
      <c r="F2534">
        <v>19</v>
      </c>
      <c r="G2534">
        <v>-3</v>
      </c>
      <c r="H2534">
        <v>0</v>
      </c>
      <c r="I2534" t="s">
        <v>19</v>
      </c>
    </row>
    <row r="2535" spans="1:9">
      <c r="A2535" t="s">
        <v>115</v>
      </c>
      <c r="B2535" t="s">
        <v>87</v>
      </c>
      <c r="C2535">
        <v>2019</v>
      </c>
      <c r="D2535" t="s">
        <v>82</v>
      </c>
      <c r="E2535">
        <v>18</v>
      </c>
      <c r="F2535">
        <v>16</v>
      </c>
      <c r="G2535">
        <v>2</v>
      </c>
      <c r="H2535">
        <v>0</v>
      </c>
      <c r="I2535" t="s">
        <v>12</v>
      </c>
    </row>
    <row r="2536" spans="1:9">
      <c r="A2536" t="s">
        <v>29</v>
      </c>
      <c r="B2536" t="s">
        <v>18</v>
      </c>
      <c r="C2536">
        <v>2019</v>
      </c>
      <c r="D2536" t="s">
        <v>82</v>
      </c>
      <c r="E2536">
        <v>6</v>
      </c>
      <c r="F2536">
        <v>6</v>
      </c>
      <c r="G2536">
        <v>0</v>
      </c>
      <c r="H2536">
        <v>8</v>
      </c>
      <c r="I2536" t="s">
        <v>12</v>
      </c>
    </row>
    <row r="2537" spans="1:9">
      <c r="A2537" t="s">
        <v>31</v>
      </c>
      <c r="B2537" t="s">
        <v>27</v>
      </c>
      <c r="C2537">
        <v>2019</v>
      </c>
      <c r="D2537" t="s">
        <v>82</v>
      </c>
      <c r="E2537">
        <v>5</v>
      </c>
      <c r="F2537">
        <v>5</v>
      </c>
      <c r="G2537">
        <v>0</v>
      </c>
      <c r="H2537">
        <v>10</v>
      </c>
      <c r="I2537" t="s">
        <v>12</v>
      </c>
    </row>
    <row r="2538" spans="1:9">
      <c r="A2538" t="s">
        <v>32</v>
      </c>
      <c r="B2538" t="s">
        <v>33</v>
      </c>
      <c r="C2538">
        <v>2019</v>
      </c>
      <c r="D2538" t="s">
        <v>82</v>
      </c>
      <c r="E2538">
        <v>10</v>
      </c>
      <c r="F2538">
        <v>20</v>
      </c>
      <c r="G2538">
        <v>-10</v>
      </c>
      <c r="H2538">
        <v>0</v>
      </c>
      <c r="I2538" t="s">
        <v>19</v>
      </c>
    </row>
    <row r="2539" spans="1:9">
      <c r="A2539" t="s">
        <v>34</v>
      </c>
      <c r="B2539" t="s">
        <v>36</v>
      </c>
      <c r="C2539">
        <v>2019</v>
      </c>
      <c r="D2539" t="s">
        <v>82</v>
      </c>
      <c r="E2539">
        <v>19</v>
      </c>
      <c r="F2539">
        <v>17</v>
      </c>
      <c r="G2539">
        <v>2</v>
      </c>
      <c r="H2539">
        <v>0</v>
      </c>
      <c r="I2539" t="s">
        <v>24</v>
      </c>
    </row>
    <row r="2540" spans="1:9">
      <c r="A2540" t="s">
        <v>35</v>
      </c>
      <c r="B2540" t="s">
        <v>143</v>
      </c>
      <c r="C2540">
        <v>2019</v>
      </c>
      <c r="D2540" t="s">
        <v>82</v>
      </c>
      <c r="E2540">
        <v>11</v>
      </c>
      <c r="F2540">
        <v>11</v>
      </c>
      <c r="G2540">
        <v>0</v>
      </c>
      <c r="H2540">
        <v>0</v>
      </c>
      <c r="I2540" t="s">
        <v>12</v>
      </c>
    </row>
    <row r="2541" spans="1:9">
      <c r="A2541" t="s">
        <v>9</v>
      </c>
      <c r="B2541" t="s">
        <v>10</v>
      </c>
      <c r="C2541">
        <v>2019</v>
      </c>
      <c r="D2541" t="s">
        <v>85</v>
      </c>
      <c r="E2541">
        <v>5</v>
      </c>
      <c r="F2541">
        <v>2</v>
      </c>
      <c r="G2541">
        <v>3</v>
      </c>
      <c r="H2541">
        <v>18</v>
      </c>
      <c r="I2541" t="s">
        <v>12</v>
      </c>
    </row>
    <row r="2542" spans="1:9">
      <c r="A2542" t="s">
        <v>114</v>
      </c>
      <c r="B2542" t="s">
        <v>87</v>
      </c>
      <c r="C2542">
        <v>2019</v>
      </c>
      <c r="D2542" t="s">
        <v>85</v>
      </c>
      <c r="E2542">
        <v>17</v>
      </c>
      <c r="F2542">
        <v>11</v>
      </c>
      <c r="G2542">
        <v>6</v>
      </c>
      <c r="H2542">
        <v>0</v>
      </c>
      <c r="I2542" t="s">
        <v>24</v>
      </c>
    </row>
    <row r="2543" spans="1:9">
      <c r="A2543" t="s">
        <v>117</v>
      </c>
      <c r="B2543" t="s">
        <v>36</v>
      </c>
      <c r="C2543">
        <v>2019</v>
      </c>
      <c r="D2543" t="s">
        <v>85</v>
      </c>
      <c r="E2543">
        <v>19</v>
      </c>
      <c r="F2543">
        <v>19</v>
      </c>
      <c r="G2543">
        <v>0</v>
      </c>
      <c r="H2543">
        <v>0</v>
      </c>
      <c r="I2543" t="s">
        <v>92</v>
      </c>
    </row>
    <row r="2544" spans="1:9">
      <c r="A2544" t="s">
        <v>100</v>
      </c>
      <c r="B2544" t="s">
        <v>27</v>
      </c>
      <c r="C2544">
        <v>2019</v>
      </c>
      <c r="D2544" t="s">
        <v>85</v>
      </c>
      <c r="E2544">
        <v>2</v>
      </c>
      <c r="F2544">
        <v>20</v>
      </c>
      <c r="G2544">
        <v>-18</v>
      </c>
      <c r="H2544">
        <v>0</v>
      </c>
      <c r="I2544" t="s">
        <v>110</v>
      </c>
    </row>
    <row r="2545" spans="1:9">
      <c r="A2545" t="s">
        <v>128</v>
      </c>
      <c r="B2545" t="s">
        <v>16</v>
      </c>
      <c r="C2545">
        <v>2019</v>
      </c>
      <c r="D2545" t="s">
        <v>85</v>
      </c>
      <c r="E2545">
        <v>15</v>
      </c>
      <c r="F2545">
        <v>15</v>
      </c>
      <c r="G2545">
        <v>0</v>
      </c>
      <c r="H2545">
        <v>0</v>
      </c>
      <c r="I2545" t="s">
        <v>24</v>
      </c>
    </row>
    <row r="2546" spans="1:9">
      <c r="A2546" t="s">
        <v>15</v>
      </c>
      <c r="B2546" t="s">
        <v>130</v>
      </c>
      <c r="C2546">
        <v>2019</v>
      </c>
      <c r="D2546" t="s">
        <v>85</v>
      </c>
      <c r="E2546">
        <v>11</v>
      </c>
      <c r="F2546">
        <v>9</v>
      </c>
      <c r="G2546">
        <v>2</v>
      </c>
      <c r="H2546">
        <v>2</v>
      </c>
      <c r="I2546" t="s">
        <v>24</v>
      </c>
    </row>
    <row r="2547" spans="1:9">
      <c r="A2547" t="s">
        <v>17</v>
      </c>
      <c r="B2547" t="s">
        <v>129</v>
      </c>
      <c r="C2547">
        <v>2019</v>
      </c>
      <c r="D2547" t="s">
        <v>85</v>
      </c>
      <c r="E2547">
        <v>0</v>
      </c>
      <c r="F2547">
        <v>10</v>
      </c>
      <c r="G2547">
        <v>-10</v>
      </c>
      <c r="H2547">
        <v>1</v>
      </c>
      <c r="I2547" t="s">
        <v>24</v>
      </c>
    </row>
    <row r="2548" spans="1:9">
      <c r="A2548" t="s">
        <v>46</v>
      </c>
      <c r="B2548" t="s">
        <v>130</v>
      </c>
      <c r="C2548">
        <v>2019</v>
      </c>
      <c r="D2548" t="s">
        <v>85</v>
      </c>
      <c r="E2548">
        <v>9</v>
      </c>
      <c r="F2548">
        <v>6</v>
      </c>
      <c r="G2548">
        <v>3</v>
      </c>
      <c r="H2548">
        <v>8</v>
      </c>
      <c r="I2548" t="s">
        <v>12</v>
      </c>
    </row>
    <row r="2549" spans="1:9">
      <c r="A2549" t="s">
        <v>20</v>
      </c>
      <c r="B2549" t="s">
        <v>10</v>
      </c>
      <c r="C2549">
        <v>2019</v>
      </c>
      <c r="D2549" t="s">
        <v>85</v>
      </c>
      <c r="E2549">
        <v>1</v>
      </c>
      <c r="F2549">
        <v>1</v>
      </c>
      <c r="G2549">
        <v>0</v>
      </c>
      <c r="H2549">
        <v>25</v>
      </c>
      <c r="I2549" t="s">
        <v>12</v>
      </c>
    </row>
    <row r="2550" spans="1:9">
      <c r="A2550" t="s">
        <v>23</v>
      </c>
      <c r="B2550" t="s">
        <v>16</v>
      </c>
      <c r="C2550">
        <v>2019</v>
      </c>
      <c r="D2550" t="s">
        <v>85</v>
      </c>
      <c r="E2550">
        <v>12</v>
      </c>
      <c r="F2550">
        <v>18</v>
      </c>
      <c r="G2550">
        <v>-6</v>
      </c>
      <c r="H2550">
        <v>0</v>
      </c>
      <c r="I2550" t="s">
        <v>47</v>
      </c>
    </row>
    <row r="2551" spans="1:9">
      <c r="A2551" t="s">
        <v>131</v>
      </c>
      <c r="B2551" t="s">
        <v>143</v>
      </c>
      <c r="C2551">
        <v>2019</v>
      </c>
      <c r="D2551" t="s">
        <v>85</v>
      </c>
      <c r="E2551">
        <v>13</v>
      </c>
      <c r="F2551">
        <v>12</v>
      </c>
      <c r="G2551">
        <v>1</v>
      </c>
      <c r="H2551">
        <v>0</v>
      </c>
      <c r="I2551" t="s">
        <v>24</v>
      </c>
    </row>
    <row r="2552" spans="1:9">
      <c r="A2552" t="s">
        <v>25</v>
      </c>
      <c r="B2552" t="s">
        <v>18</v>
      </c>
      <c r="C2552">
        <v>2019</v>
      </c>
      <c r="D2552" t="s">
        <v>85</v>
      </c>
      <c r="E2552">
        <v>3</v>
      </c>
      <c r="F2552">
        <v>3</v>
      </c>
      <c r="G2552">
        <v>0</v>
      </c>
      <c r="H2552">
        <v>15</v>
      </c>
      <c r="I2552" t="s">
        <v>12</v>
      </c>
    </row>
    <row r="2553" spans="1:9">
      <c r="A2553" t="s">
        <v>26</v>
      </c>
      <c r="B2553" t="s">
        <v>33</v>
      </c>
      <c r="C2553">
        <v>2019</v>
      </c>
      <c r="D2553" t="s">
        <v>85</v>
      </c>
      <c r="E2553">
        <v>7</v>
      </c>
      <c r="F2553">
        <v>8</v>
      </c>
      <c r="G2553">
        <v>-1</v>
      </c>
      <c r="H2553">
        <v>4</v>
      </c>
      <c r="I2553" t="s">
        <v>24</v>
      </c>
    </row>
    <row r="2554" spans="1:9">
      <c r="A2554" t="s">
        <v>28</v>
      </c>
      <c r="B2554" t="s">
        <v>129</v>
      </c>
      <c r="C2554">
        <v>2019</v>
      </c>
      <c r="D2554" t="s">
        <v>85</v>
      </c>
      <c r="E2554">
        <v>14</v>
      </c>
      <c r="F2554">
        <v>13</v>
      </c>
      <c r="G2554">
        <v>1</v>
      </c>
      <c r="H2554">
        <v>0</v>
      </c>
      <c r="I2554" t="s">
        <v>24</v>
      </c>
    </row>
    <row r="2555" spans="1:9">
      <c r="A2555" t="s">
        <v>115</v>
      </c>
      <c r="B2555" t="s">
        <v>87</v>
      </c>
      <c r="C2555">
        <v>2019</v>
      </c>
      <c r="D2555" t="s">
        <v>85</v>
      </c>
      <c r="E2555">
        <v>16</v>
      </c>
      <c r="F2555">
        <v>14</v>
      </c>
      <c r="G2555">
        <v>2</v>
      </c>
      <c r="H2555">
        <v>0</v>
      </c>
      <c r="I2555" t="s">
        <v>24</v>
      </c>
    </row>
    <row r="2556" spans="1:9">
      <c r="A2556" t="s">
        <v>29</v>
      </c>
      <c r="B2556" t="s">
        <v>143</v>
      </c>
      <c r="C2556">
        <v>2019</v>
      </c>
      <c r="D2556" t="s">
        <v>85</v>
      </c>
      <c r="E2556">
        <v>10</v>
      </c>
      <c r="F2556">
        <v>16</v>
      </c>
      <c r="G2556">
        <v>-6</v>
      </c>
      <c r="H2556">
        <v>0</v>
      </c>
      <c r="I2556" t="s">
        <v>110</v>
      </c>
    </row>
    <row r="2557" spans="1:9">
      <c r="A2557" t="s">
        <v>31</v>
      </c>
      <c r="B2557" t="s">
        <v>27</v>
      </c>
      <c r="C2557">
        <v>2019</v>
      </c>
      <c r="D2557" t="s">
        <v>85</v>
      </c>
      <c r="E2557">
        <v>4</v>
      </c>
      <c r="F2557">
        <v>4</v>
      </c>
      <c r="G2557">
        <v>0</v>
      </c>
      <c r="H2557">
        <v>13</v>
      </c>
      <c r="I2557" t="s">
        <v>12</v>
      </c>
    </row>
    <row r="2558" spans="1:9">
      <c r="A2558" t="s">
        <v>32</v>
      </c>
      <c r="B2558" t="s">
        <v>33</v>
      </c>
      <c r="C2558">
        <v>2019</v>
      </c>
      <c r="D2558" t="s">
        <v>85</v>
      </c>
      <c r="E2558">
        <v>8</v>
      </c>
      <c r="F2558">
        <v>7</v>
      </c>
      <c r="G2558">
        <v>1</v>
      </c>
      <c r="H2558">
        <v>6</v>
      </c>
      <c r="I2558" t="s">
        <v>12</v>
      </c>
    </row>
    <row r="2559" spans="1:9">
      <c r="A2559" t="s">
        <v>34</v>
      </c>
      <c r="B2559" t="s">
        <v>36</v>
      </c>
      <c r="C2559">
        <v>2019</v>
      </c>
      <c r="D2559" t="s">
        <v>85</v>
      </c>
      <c r="E2559">
        <v>18</v>
      </c>
      <c r="F2559">
        <v>17</v>
      </c>
      <c r="G2559">
        <v>1</v>
      </c>
      <c r="H2559">
        <v>0</v>
      </c>
      <c r="I2559" t="s">
        <v>53</v>
      </c>
    </row>
    <row r="2560" spans="1:9">
      <c r="A2560" t="s">
        <v>35</v>
      </c>
      <c r="B2560" t="s">
        <v>18</v>
      </c>
      <c r="C2560">
        <v>2019</v>
      </c>
      <c r="D2560" t="s">
        <v>85</v>
      </c>
      <c r="E2560">
        <v>6</v>
      </c>
      <c r="F2560">
        <v>5</v>
      </c>
      <c r="G2560">
        <v>1</v>
      </c>
      <c r="H2560">
        <v>10</v>
      </c>
      <c r="I2560" t="s">
        <v>12</v>
      </c>
    </row>
  </sheetData>
  <sortState xmlns:xlrd2="http://schemas.microsoft.com/office/spreadsheetml/2017/richdata2" ref="M2:M37">
    <sortCondition ref="M2:M37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CDCB0-BC7B-4B53-88C1-132694312155}">
  <sheetPr codeName="Arkusz2"/>
  <dimension ref="B2:K61"/>
  <sheetViews>
    <sheetView showGridLines="0" showRowColHeaders="0" tabSelected="1" workbookViewId="0">
      <selection activeCell="Q23" sqref="Q23"/>
    </sheetView>
  </sheetViews>
  <sheetFormatPr defaultRowHeight="15"/>
  <cols>
    <col min="1" max="1" width="10.7109375" style="1" customWidth="1"/>
    <col min="2" max="2" width="5.7109375" style="1" customWidth="1"/>
    <col min="3" max="3" width="25.7109375" style="1" customWidth="1"/>
    <col min="4" max="4" width="15.7109375" style="1" customWidth="1"/>
    <col min="5" max="5" width="25.7109375" style="1" customWidth="1"/>
    <col min="6" max="6" width="5.7109375" style="1" customWidth="1"/>
    <col min="7" max="7" width="10.7109375" style="1" customWidth="1"/>
    <col min="8" max="10" width="9.140625" style="1"/>
    <col min="11" max="11" width="9.7109375" style="1" bestFit="1" customWidth="1"/>
    <col min="12" max="16384" width="9.140625" style="1"/>
  </cols>
  <sheetData>
    <row r="2" spans="2:11" ht="15" customHeight="1">
      <c r="B2" s="35" t="str">
        <f>"RAPORT WYDAJNOŚCI: " &amp; UPPER(E5)</f>
        <v>RAPORT WYDAJNOŚCI: LEWIS HAMILTON</v>
      </c>
      <c r="C2" s="36"/>
      <c r="D2" s="36"/>
      <c r="E2" s="36"/>
      <c r="F2" s="37"/>
      <c r="G2" s="5"/>
      <c r="H2" s="22"/>
    </row>
    <row r="3" spans="2:11" ht="15" customHeight="1">
      <c r="B3" s="38"/>
      <c r="C3" s="39"/>
      <c r="D3" s="39"/>
      <c r="E3" s="39"/>
      <c r="F3" s="40"/>
      <c r="G3" s="5"/>
      <c r="H3" s="22"/>
    </row>
    <row r="4" spans="2:11">
      <c r="B4" s="12"/>
      <c r="D4" s="52"/>
      <c r="E4" s="52"/>
      <c r="F4" s="8"/>
    </row>
    <row r="5" spans="2:11">
      <c r="B5" s="12"/>
      <c r="C5" s="49" t="s">
        <v>160</v>
      </c>
      <c r="D5" s="50"/>
      <c r="E5" s="4" t="s">
        <v>9</v>
      </c>
      <c r="F5" s="8"/>
      <c r="H5" s="23"/>
      <c r="I5" s="23"/>
    </row>
    <row r="6" spans="2:11">
      <c r="B6" s="12"/>
      <c r="C6" s="48" t="s">
        <v>159</v>
      </c>
      <c r="D6" s="19"/>
      <c r="E6" s="3">
        <f>SUMIF(v_Driver_Scorecard_Final!A:A, E5, v_Driver_Scorecard_Final!H:H)</f>
        <v>1795</v>
      </c>
      <c r="F6" s="8"/>
      <c r="H6" s="23"/>
      <c r="I6" s="23"/>
    </row>
    <row r="7" spans="2:11">
      <c r="B7" s="12"/>
      <c r="C7" s="48" t="s">
        <v>158</v>
      </c>
      <c r="D7" s="19"/>
      <c r="E7" s="2" t="str">
        <f>VLOOKUP(E5, v_Driver_Scorecard_Final!A:B, 2, FALSE)</f>
        <v>Mercedes</v>
      </c>
      <c r="F7" s="8"/>
    </row>
    <row r="8" spans="2:11">
      <c r="B8" s="12"/>
      <c r="C8" s="48" t="s">
        <v>157</v>
      </c>
      <c r="D8" s="19"/>
      <c r="E8" s="2">
        <f>COUNTIF(v_Driver_Scorecard_Final!A:A, E5)</f>
        <v>127</v>
      </c>
      <c r="F8" s="8"/>
    </row>
    <row r="9" spans="2:11">
      <c r="B9" s="12"/>
      <c r="C9" s="48" t="s">
        <v>156</v>
      </c>
      <c r="D9" s="19"/>
      <c r="E9" s="2">
        <f>_xlfn.AGGREGATE(15, 6, v_Driver_Scorecard_Final!F:F / (v_Driver_Scorecard_Final!A:A = E5), 1)</f>
        <v>1</v>
      </c>
      <c r="F9" s="8"/>
    </row>
    <row r="10" spans="2:11" ht="15" customHeight="1">
      <c r="B10" s="12"/>
      <c r="C10" s="46" t="s">
        <v>155</v>
      </c>
      <c r="D10" s="47"/>
      <c r="E10" s="51">
        <f>IFERROR(E6 / E8, 0)</f>
        <v>14.133858267716535</v>
      </c>
      <c r="F10" s="8"/>
    </row>
    <row r="11" spans="2:11">
      <c r="B11" s="12"/>
      <c r="C11" s="46"/>
      <c r="D11" s="47"/>
      <c r="E11" s="51"/>
      <c r="F11" s="8"/>
    </row>
    <row r="12" spans="2:11">
      <c r="B12" s="12"/>
      <c r="C12" s="48" t="s">
        <v>153</v>
      </c>
      <c r="D12" s="19"/>
      <c r="E12" s="16">
        <f>COUNTIFS(v_Driver_Scorecard_Final!$A:$A,$E$5,v_Driver_Scorecard_Final!$H:$H,"&gt;0") / E8</f>
        <v>0.91338582677165359</v>
      </c>
      <c r="F12" s="8"/>
    </row>
    <row r="13" spans="2:11">
      <c r="B13" s="12"/>
      <c r="C13" s="41" t="s">
        <v>154</v>
      </c>
      <c r="D13" s="42"/>
      <c r="E13" s="17">
        <f>AVERAGEIFS(v_Driver_Scorecard_Final!$E:$E,v_Driver_Scorecard_Final!$A:$A,$E$5)</f>
        <v>4.8582677165354333</v>
      </c>
      <c r="F13" s="8"/>
    </row>
    <row r="14" spans="2:11">
      <c r="B14" s="12"/>
      <c r="F14" s="8"/>
      <c r="K14" s="7"/>
    </row>
    <row r="15" spans="2:11">
      <c r="B15" s="12"/>
      <c r="C15" s="43" t="s">
        <v>148</v>
      </c>
      <c r="D15" s="44"/>
      <c r="E15" s="45"/>
      <c r="F15" s="8"/>
      <c r="K15" s="7"/>
    </row>
    <row r="16" spans="2:11">
      <c r="B16" s="12"/>
      <c r="F16" s="8"/>
      <c r="K16" s="7"/>
    </row>
    <row r="17" spans="2:6">
      <c r="B17" s="12"/>
      <c r="C17" s="24"/>
      <c r="D17" s="25"/>
      <c r="E17" s="26"/>
      <c r="F17" s="8"/>
    </row>
    <row r="18" spans="2:6">
      <c r="B18" s="12"/>
      <c r="C18" s="27"/>
      <c r="D18" s="28"/>
      <c r="E18" s="29"/>
      <c r="F18" s="8"/>
    </row>
    <row r="19" spans="2:6">
      <c r="B19" s="12"/>
      <c r="C19" s="30"/>
      <c r="D19" s="31"/>
      <c r="E19" s="32"/>
      <c r="F19" s="8"/>
    </row>
    <row r="20" spans="2:6">
      <c r="B20" s="12"/>
      <c r="F20" s="8"/>
    </row>
    <row r="21" spans="2:6">
      <c r="B21" s="12"/>
      <c r="C21" s="33" t="s">
        <v>149</v>
      </c>
      <c r="D21" s="34"/>
      <c r="E21" s="13">
        <f>COUNTIFS(v_Driver_Scorecard_Final!$A:$A,$E$5,v_Driver_Scorecard_Final!$I:$I,"Finished") + COUNTIFS(v_Driver_Scorecard_Final!$A:$A,$E$5,v_Driver_Scorecard_Final!$I:$I,"+*")</f>
        <v>120</v>
      </c>
      <c r="F21" s="8"/>
    </row>
    <row r="22" spans="2:6">
      <c r="B22" s="12"/>
      <c r="C22" s="18" t="s">
        <v>150</v>
      </c>
      <c r="D22" s="19"/>
      <c r="E22" s="14">
        <f>SUM(COUNTIFS(v_Driver_Scorecard_Final!$A:$A,$E$5,v_Driver_Scorecard_Final!$I:$I,{"Steering*";"Technical*";"Fuel*";"Vibrations*";"Differential*";"Water*";"Cooling*";"Turbo*";"Wheel*";"Driveshaft*";"Electr*";"Mechanical*";"Gearbox*";"Radiator*";"Engine*";"Brakes*";"Transmission*";"Suspension*";"Power*";"Exhaust*";"Hydraulics*";"Overheating*";"Oil leak*"}))</f>
        <v>2</v>
      </c>
      <c r="F22" s="8"/>
    </row>
    <row r="23" spans="2:6">
      <c r="B23" s="12"/>
      <c r="C23" s="18" t="s">
        <v>151</v>
      </c>
      <c r="D23" s="19"/>
      <c r="E23" s="14">
        <f>SUM(COUNTIFS(v_Driver_Scorecard_Final!$A:$A,$E$5,v_Driver_Scorecard_Final!$I:$I,{"Undertray*";"Front wing*";"Rear wing*";"Debris*";"Puncture*";"Damage*";"Collision*";"Accident*";"Spun off*"}))</f>
        <v>4</v>
      </c>
      <c r="F23" s="8"/>
    </row>
    <row r="24" spans="2:6">
      <c r="B24" s="12"/>
      <c r="C24" s="20" t="s">
        <v>152</v>
      </c>
      <c r="D24" s="21"/>
      <c r="E24" s="15">
        <f>SUM(COUNTIFS(v_Driver_Scorecard_Final!$A:$A,$E$5,v_Driver_Scorecard_Final!$I:$I,{"Illness*";"Retired*";"Out of fuel*";"Disqualified*";"Withdrew*"}))</f>
        <v>1</v>
      </c>
      <c r="F24" s="8"/>
    </row>
    <row r="25" spans="2:6">
      <c r="B25" s="9"/>
      <c r="C25" s="10"/>
      <c r="D25" s="10"/>
      <c r="E25" s="10"/>
      <c r="F25" s="11"/>
    </row>
    <row r="52" spans="11:11">
      <c r="K52" s="6">
        <f>IFERROR(INDEX(v_Driver_Scorecard_Final!$H$1:$H$1000, _xlfn.AGGREGATE(15, 6, (ROW(v_Driver_Scorecard_Final!$A$1:$A$1000)-ROW(v_Driver_Scorecard_Final!$A$1)+1)/(v_Driver_Scorecard_Final!$A$1:$A$1000=$E$5), ROW(B2))), "")</f>
        <v>0</v>
      </c>
    </row>
    <row r="53" spans="11:11">
      <c r="K53" s="6">
        <f>IFERROR(INDEX(v_Driver_Scorecard_Final!$H$1:$H$1000, _xlfn.AGGREGATE(15, 6, (ROW(v_Driver_Scorecard_Final!$A$1:$A$1000)-ROW(v_Driver_Scorecard_Final!$A$1)+1)/(v_Driver_Scorecard_Final!$A$1:$A$1000=$E$5), ROW(B3))), "")</f>
        <v>12</v>
      </c>
    </row>
    <row r="54" spans="11:11">
      <c r="K54" s="6">
        <f>IFERROR(INDEX(v_Driver_Scorecard_Final!$H$1:$H$1000, _xlfn.AGGREGATE(15, 6, (ROW(v_Driver_Scorecard_Final!$A$1:$A$1000)-ROW(v_Driver_Scorecard_Final!$A$1)+1)/(v_Driver_Scorecard_Final!$A$1:$A$1000=$E$5), ROW(B4))), "")</f>
        <v>2</v>
      </c>
    </row>
    <row r="55" spans="11:11">
      <c r="K55" s="6">
        <f>IFERROR(INDEX(v_Driver_Scorecard_Final!$H$1:$H$1000, _xlfn.AGGREGATE(15, 6, (ROW(v_Driver_Scorecard_Final!$A$1:$A$1000)-ROW(v_Driver_Scorecard_Final!$A$1)+1)/(v_Driver_Scorecard_Final!$A$1:$A$1000=$E$5), ROW(B5))), "")</f>
        <v>6</v>
      </c>
    </row>
    <row r="56" spans="11:11">
      <c r="K56" s="6">
        <f>IFERROR(INDEX(v_Driver_Scorecard_Final!$H$1:$H$1000, _xlfn.AGGREGATE(15, 6, (ROW(v_Driver_Scorecard_Final!$A$1:$A$1000)-ROW(v_Driver_Scorecard_Final!$A$1)+1)/(v_Driver_Scorecard_Final!$A$1:$A$1000=$E$5), ROW(B6))), "")</f>
        <v>25</v>
      </c>
    </row>
    <row r="57" spans="11:11">
      <c r="K57" s="6">
        <f>IFERROR(INDEX(v_Driver_Scorecard_Final!$H$1:$H$1000, _xlfn.AGGREGATE(15, 6, (ROW(v_Driver_Scorecard_Final!$A$1:$A$1000)-ROW(v_Driver_Scorecard_Final!$A$1)+1)/(v_Driver_Scorecard_Final!$A$1:$A$1000=$E$5), ROW(B7))), "")</f>
        <v>25</v>
      </c>
    </row>
    <row r="58" spans="11:11">
      <c r="K58" s="6">
        <f>IFERROR(INDEX(v_Driver_Scorecard_Final!$H$1:$H$1000, _xlfn.AGGREGATE(15, 6, (ROW(v_Driver_Scorecard_Final!$A$1:$A$1000)-ROW(v_Driver_Scorecard_Final!$A$1)+1)/(v_Driver_Scorecard_Final!$A$1:$A$1000=$E$5), ROW(B8))), "")</f>
        <v>13</v>
      </c>
    </row>
    <row r="59" spans="11:11">
      <c r="K59" s="6">
        <f>IFERROR(INDEX(v_Driver_Scorecard_Final!$H$1:$H$1000, _xlfn.AGGREGATE(15, 6, (ROW(v_Driver_Scorecard_Final!$A$1:$A$1000)-ROW(v_Driver_Scorecard_Final!$A$1)+1)/(v_Driver_Scorecard_Final!$A$1:$A$1000=$E$5), ROW(B9))), "")</f>
        <v>2</v>
      </c>
    </row>
    <row r="60" spans="11:11">
      <c r="K60" s="6">
        <f>IFERROR(INDEX(v_Driver_Scorecard_Final!$H$1:$H$1000, _xlfn.AGGREGATE(15, 6, (ROW(v_Driver_Scorecard_Final!$A$1:$A$1000)-ROW(v_Driver_Scorecard_Final!$A$1)+1)/(v_Driver_Scorecard_Final!$A$1:$A$1000=$E$5), ROW(B10))), "")</f>
        <v>4</v>
      </c>
    </row>
    <row r="61" spans="11:11">
      <c r="K61" s="6">
        <f>IFERROR(INDEX(v_Driver_Scorecard_Final!$H$1:$H$1000, _xlfn.AGGREGATE(15, 6, (ROW(v_Driver_Scorecard_Final!$A$1:$A$1000)-ROW(v_Driver_Scorecard_Final!$A$1)+1)/(v_Driver_Scorecard_Final!$A$1:$A$1000=$E$5), ROW(B11))), "")</f>
        <v>8</v>
      </c>
    </row>
  </sheetData>
  <mergeCells count="19">
    <mergeCell ref="E10:E11"/>
    <mergeCell ref="D4:E4"/>
    <mergeCell ref="C12:D12"/>
    <mergeCell ref="C22:D22"/>
    <mergeCell ref="C23:D23"/>
    <mergeCell ref="C24:D24"/>
    <mergeCell ref="H2:H3"/>
    <mergeCell ref="H5:I6"/>
    <mergeCell ref="C17:E19"/>
    <mergeCell ref="C21:D21"/>
    <mergeCell ref="B2:F3"/>
    <mergeCell ref="C13:D13"/>
    <mergeCell ref="C15:E15"/>
    <mergeCell ref="C10:D11"/>
    <mergeCell ref="C9:D9"/>
    <mergeCell ref="C8:D8"/>
    <mergeCell ref="C7:D7"/>
    <mergeCell ref="C6:D6"/>
    <mergeCell ref="C5:D5"/>
  </mergeCells>
  <conditionalFormatting sqref="E6">
    <cfRule type="dataBar" priority="12">
      <dataBar>
        <cfvo type="num" val="0"/>
        <cfvo type="num" val="3000"/>
        <color theme="4" tint="0.39997558519241921"/>
      </dataBar>
      <extLst>
        <ext xmlns:x14="http://schemas.microsoft.com/office/spreadsheetml/2009/9/main" uri="{B025F937-C7B1-47D3-B67F-A62EFF666E3E}">
          <x14:id>{539AC61D-8AC3-4F4A-84ED-9915F5C2A39D}</x14:id>
        </ext>
      </extLst>
    </cfRule>
  </conditionalFormatting>
  <conditionalFormatting sqref="E9">
    <cfRule type="cellIs" dxfId="2" priority="9" operator="equal">
      <formula>3</formula>
    </cfRule>
    <cfRule type="cellIs" dxfId="1" priority="10" operator="equal">
      <formula>2</formula>
    </cfRule>
    <cfRule type="cellIs" dxfId="0" priority="11" operator="equal">
      <formula>1</formula>
    </cfRule>
  </conditionalFormatting>
  <conditionalFormatting sqref="E12">
    <cfRule type="iconSet" priority="8">
      <iconSet iconSet="3Arrows">
        <cfvo type="percent" val="0"/>
        <cfvo type="num" val="0" gte="0"/>
        <cfvo type="num" val="0" gte="0"/>
      </iconSet>
    </cfRule>
  </conditionalFormatting>
  <conditionalFormatting sqref="E10:E11">
    <cfRule type="iconSet" priority="7">
      <iconSet iconSet="5Quarters">
        <cfvo type="percent" val="0"/>
        <cfvo type="num" val="3"/>
        <cfvo type="num" val="6"/>
        <cfvo type="num" val="10"/>
        <cfvo type="num" val="14"/>
      </iconSet>
    </cfRule>
  </conditionalFormatting>
  <conditionalFormatting sqref="E21">
    <cfRule type="dataBar" priority="6">
      <dataBar>
        <cfvo type="num" val="0"/>
        <cfvo type="num" val="$E$8"/>
        <color rgb="FF63C384"/>
      </dataBar>
      <extLst>
        <ext xmlns:x14="http://schemas.microsoft.com/office/spreadsheetml/2009/9/main" uri="{B025F937-C7B1-47D3-B67F-A62EFF666E3E}">
          <x14:id>{3A69D987-6C3E-4726-8992-12EE652A4696}</x14:id>
        </ext>
      </extLst>
    </cfRule>
  </conditionalFormatting>
  <conditionalFormatting sqref="E22">
    <cfRule type="dataBar" priority="5">
      <dataBar>
        <cfvo type="num" val="0"/>
        <cfvo type="num" val="$E$8"/>
        <color rgb="FFFF555A"/>
      </dataBar>
      <extLst>
        <ext xmlns:x14="http://schemas.microsoft.com/office/spreadsheetml/2009/9/main" uri="{B025F937-C7B1-47D3-B67F-A62EFF666E3E}">
          <x14:id>{E7EFBB56-2A05-463B-BB7A-B159C24BE7D8}</x14:id>
        </ext>
      </extLst>
    </cfRule>
  </conditionalFormatting>
  <conditionalFormatting sqref="E24">
    <cfRule type="dataBar" priority="4">
      <dataBar>
        <cfvo type="num" val="0"/>
        <cfvo type="num" val="$E$8"/>
        <color theme="2" tint="-0.499984740745262"/>
      </dataBar>
      <extLst>
        <ext xmlns:x14="http://schemas.microsoft.com/office/spreadsheetml/2009/9/main" uri="{B025F937-C7B1-47D3-B67F-A62EFF666E3E}">
          <x14:id>{B861B53A-96D8-4AAE-B206-B82C367D2F10}</x14:id>
        </ext>
      </extLst>
    </cfRule>
  </conditionalFormatting>
  <conditionalFormatting sqref="E23">
    <cfRule type="dataBar" priority="3">
      <dataBar>
        <cfvo type="num" val="0"/>
        <cfvo type="num" val="$E$8"/>
        <color rgb="FFFFB628"/>
      </dataBar>
      <extLst>
        <ext xmlns:x14="http://schemas.microsoft.com/office/spreadsheetml/2009/9/main" uri="{B025F937-C7B1-47D3-B67F-A62EFF666E3E}">
          <x14:id>{9335DB5B-947D-41F2-85FE-D5B66551D44E}</x14:id>
        </ext>
      </extLst>
    </cfRule>
  </conditionalFormatting>
  <pageMargins left="0.7" right="0.7" top="0.75" bottom="0.75" header="0.3" footer="0.3"/>
  <pageSetup paperSize="9" scale="125" fitToWidth="0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39AC61D-8AC3-4F4A-84ED-9915F5C2A39D}">
            <x14:dataBar minLength="0" maxLength="100" border="1" negativeBarBorderColorSameAsPositive="0">
              <x14:cfvo type="num">
                <xm:f>0</xm:f>
              </x14:cfvo>
              <x14:cfvo type="num">
                <xm:f>3000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3A69D987-6C3E-4726-8992-12EE652A4696}">
            <x14:dataBar minLength="0" maxLength="100" border="1" negativeBarBorderColorSameAsPositive="0">
              <x14:cfvo type="num">
                <xm:f>0</xm:f>
              </x14:cfvo>
              <x14:cfvo type="num">
                <xm:f>$E$8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E7EFBB56-2A05-463B-BB7A-B159C24BE7D8}">
            <x14:dataBar minLength="0" maxLength="100" border="1" negativeBarBorderColorSameAsPositive="0">
              <x14:cfvo type="num">
                <xm:f>0</xm:f>
              </x14:cfvo>
              <x14:cfvo type="num">
                <xm:f>$E$8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E22</xm:sqref>
        </x14:conditionalFormatting>
        <x14:conditionalFormatting xmlns:xm="http://schemas.microsoft.com/office/excel/2006/main">
          <x14:cfRule type="dataBar" id="{B861B53A-96D8-4AAE-B206-B82C367D2F10}">
            <x14:dataBar minLength="0" maxLength="100" border="1" negativeBarBorderColorSameAsPositive="0">
              <x14:cfvo type="num">
                <xm:f>0</xm:f>
              </x14:cfvo>
              <x14:cfvo type="num">
                <xm:f>$E$8</xm:f>
              </x14:cfvo>
              <x14:borderColor theme="2" tint="-0.499984740745262"/>
              <x14:negativeFillColor rgb="FFFF0000"/>
              <x14:negativeBorder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9335DB5B-947D-41F2-85FE-D5B66551D44E}">
            <x14:dataBar minLength="0" maxLength="100" border="1" negativeBarBorderColorSameAsPositive="0">
              <x14:cfvo type="num">
                <xm:f>0</xm:f>
              </x14:cfvo>
              <x14:cfvo type="num">
                <xm:f>$E$8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Instrukcja" prompt="Wybierz nazwisko z listy, aby zobaczyć statystyki i wygenerować PDF" xr:uid="{5772D77B-C760-4756-A928-EB857D20D169}">
          <x14:formula1>
            <xm:f>v_Driver_Scorecard_Final!$M$2:$M$37</xm:f>
          </x14:formula1>
          <xm:sqref>E5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manualMin="0" displayEmptyCellsAs="gap" markers="1" minAxisType="custom" xr2:uid="{0C2103F6-8649-40C5-A89F-B2AB7CA3AB4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Dashboard!K52:K61</xm:f>
              <xm:sqref>C17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C1CA9B-F046-48A0-8B6D-C3DD2C2A8F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v_Driver_Scorecard_Final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291693@o365.stud.umk.pl</dc:creator>
  <cp:lastModifiedBy>291693@o365.stud.umk.pl</cp:lastModifiedBy>
  <cp:lastPrinted>2026-04-07T07:48:29Z</cp:lastPrinted>
  <dcterms:created xsi:type="dcterms:W3CDTF">2026-04-01T22:01:42Z</dcterms:created>
  <dcterms:modified xsi:type="dcterms:W3CDTF">2026-04-07T07:48:56Z</dcterms:modified>
</cp:coreProperties>
</file>